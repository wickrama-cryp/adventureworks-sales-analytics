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Learning\End_to_end_Project\AdventureWorks_Analytics\03_python\exports\excel\"/>
    </mc:Choice>
  </mc:AlternateContent>
  <xr:revisionPtr revIDLastSave="0" documentId="13_ncr:1_{23E218ED-A155-48DE-BAEE-CDC90A11F73C}" xr6:coauthVersionLast="47" xr6:coauthVersionMax="47" xr10:uidLastSave="{00000000-0000-0000-0000-000000000000}"/>
  <bookViews>
    <workbookView xWindow="-93" yWindow="-93" windowWidth="20186" windowHeight="12920" xr2:uid="{00000000-000D-0000-FFFF-FFFF00000000}"/>
  </bookViews>
  <sheets>
    <sheet name="Dashboard" sheetId="15" r:id="rId1"/>
    <sheet name="KPI Summary" sheetId="7" r:id="rId2"/>
    <sheet name="Pivot - Yearly Revenue" sheetId="9" r:id="rId3"/>
    <sheet name="Pivot - Category" sheetId="10" r:id="rId4"/>
    <sheet name="Pivot - Territory" sheetId="11" r:id="rId5"/>
    <sheet name="Pivot - Salesperson" sheetId="12" r:id="rId6"/>
    <sheet name="YoY Comparison" sheetId="14" r:id="rId7"/>
    <sheet name="Monthly Revenue" sheetId="1" r:id="rId8"/>
    <sheet name="Territory Revenue" sheetId="2" r:id="rId9"/>
    <sheet name="Category Revenue" sheetId="3" r:id="rId10"/>
    <sheet name="Salesperson" sheetId="4" r:id="rId11"/>
    <sheet name="Top Customers" sheetId="5" r:id="rId12"/>
    <sheet name="YoY Growth" sheetId="6" r:id="rId13"/>
  </sheets>
  <definedNames>
    <definedName name="_xlnm._FilterDatabase" localSheetId="9" hidden="1">'Category Revenue'!$A$1:$F$36</definedName>
    <definedName name="_xlnm._FilterDatabase" localSheetId="7" hidden="1">'Monthly Revenue'!$A$1:$F$39</definedName>
    <definedName name="_xlnm._FilterDatabase" localSheetId="10" hidden="1">Salesperson!$A$1:$E$15</definedName>
    <definedName name="_xlnm._FilterDatabase" localSheetId="8" hidden="1">'Territory Revenue'!$A$1:$G$11</definedName>
    <definedName name="_xlnm._FilterDatabase" localSheetId="11" hidden="1">'Top Customers'!$A$1:$I$1</definedName>
    <definedName name="_xlnm._FilterDatabase" localSheetId="12" hidden="1">'YoY Growth'!$A$1:$E$1</definedName>
    <definedName name="Slicer_category">#N/A</definedName>
    <definedName name="Slicer_territory">#N/A</definedName>
    <definedName name="Slicer_year">#N/A</definedName>
  </definedNames>
  <calcPr calcId="191029"/>
  <pivotCaches>
    <pivotCache cacheId="0" r:id="rId14"/>
    <pivotCache cacheId="1" r:id="rId15"/>
    <pivotCache cacheId="2" r:id="rId16"/>
    <pivotCache cacheId="3" r:id="rId17"/>
    <pivotCache cacheId="4" r:id="rId18"/>
  </pivotCaches>
  <fileRecoveryPr repairLoad="1"/>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5" l="1"/>
  <c r="H6" i="15"/>
  <c r="F6" i="15"/>
  <c r="D6" i="15"/>
  <c r="B6" i="7"/>
  <c r="B4" i="7"/>
  <c r="B3" i="7"/>
</calcChain>
</file>

<file path=xl/sharedStrings.xml><?xml version="1.0" encoding="utf-8"?>
<sst xmlns="http://schemas.openxmlformats.org/spreadsheetml/2006/main" count="578" uniqueCount="267">
  <si>
    <t>year</t>
  </si>
  <si>
    <t>month</t>
  </si>
  <si>
    <t>year_month</t>
  </si>
  <si>
    <t>total_orders</t>
  </si>
  <si>
    <t>monthly_revenue</t>
  </si>
  <si>
    <t>avg_order_value</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</si>
  <si>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</si>
  <si>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</si>
  <si>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</si>
  <si>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</si>
  <si>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</si>
  <si>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</si>
  <si>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</si>
  <si>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</si>
  <si>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</si>
  <si>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</si>
  <si>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</si>
  <si>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</si>
  <si>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</si>
  <si>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</si>
  <si>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</si>
  <si>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</si>
  <si>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</si>
  <si>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</si>
  <si>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</si>
  <si>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</si>
  <si>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</si>
  <si>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</si>
  <si>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</si>
  <si>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</si>
  <si>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</si>
  <si>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</si>
  <si>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</si>
  <si>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</si>
  <si>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</si>
  <si>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</si>
  <si>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</si>
  <si>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</si>
  <si>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</si>
  <si>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</si>
  <si>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</si>
  <si>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</si>
  <si>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</si>
  <si>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</si>
  <si>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territory</t>
  </si>
  <si>
    <t>country</t>
  </si>
  <si>
    <t>region</t>
  </si>
  <si>
    <t>total_customers</t>
  </si>
  <si>
    <t>total_revenue</t>
  </si>
  <si>
    <t>Southwest</t>
  </si>
  <si>
    <t>US</t>
  </si>
  <si>
    <t>North America</t>
  </si>
  <si>
    <t>Canada</t>
  </si>
  <si>
    <t>CA</t>
  </si>
  <si>
    <t>Northwest</t>
  </si>
  <si>
    <t>Australia</t>
  </si>
  <si>
    <t>AU</t>
  </si>
  <si>
    <t>Pacific</t>
  </si>
  <si>
    <t>Central</t>
  </si>
  <si>
    <t>Southeast</t>
  </si>
  <si>
    <t>United Kingdom</t>
  </si>
  <si>
    <t>GB</t>
  </si>
  <si>
    <t>Europe</t>
  </si>
  <si>
    <t>France</t>
  </si>
  <si>
    <t>FR</t>
  </si>
  <si>
    <t>Northeast</t>
  </si>
  <si>
    <t>Germany</t>
  </si>
  <si>
    <t>DE</t>
  </si>
  <si>
    <t>category</t>
  </si>
  <si>
    <t>subcategory</t>
  </si>
  <si>
    <t>total_units_sold</t>
  </si>
  <si>
    <t>avg_unit_price</t>
  </si>
  <si>
    <t>Bikes</t>
  </si>
  <si>
    <t>Road Bikes</t>
  </si>
  <si>
    <t>Mountain Bikes</t>
  </si>
  <si>
    <t>Touring Bikes</t>
  </si>
  <si>
    <t>Components</t>
  </si>
  <si>
    <t>Mountain Frames</t>
  </si>
  <si>
    <t>Road Frames</t>
  </si>
  <si>
    <t>Touring Frames</t>
  </si>
  <si>
    <t>Clothing</t>
  </si>
  <si>
    <t>Jerseys</t>
  </si>
  <si>
    <t>Wheels</t>
  </si>
  <si>
    <t>Accessories</t>
  </si>
  <si>
    <t>Helmets</t>
  </si>
  <si>
    <t>Shorts</t>
  </si>
  <si>
    <t>Vests</t>
  </si>
  <si>
    <t>Tires and Tubes</t>
  </si>
  <si>
    <t>Gloves</t>
  </si>
  <si>
    <t>Bike Racks</t>
  </si>
  <si>
    <t>Cranksets</t>
  </si>
  <si>
    <t>Tights</t>
  </si>
  <si>
    <t>Handlebars</t>
  </si>
  <si>
    <t>Bib-Shorts</t>
  </si>
  <si>
    <t>Pedals</t>
  </si>
  <si>
    <t>Hydration Packs</t>
  </si>
  <si>
    <t>Forks</t>
  </si>
  <si>
    <t>Derailleurs</t>
  </si>
  <si>
    <t>Brakes</t>
  </si>
  <si>
    <t>Bottles and Cages</t>
  </si>
  <si>
    <t>Headsets</t>
  </si>
  <si>
    <t>Saddles</t>
  </si>
  <si>
    <t>Bottom Brackets</t>
  </si>
  <si>
    <t>Caps</t>
  </si>
  <si>
    <t>Fenders</t>
  </si>
  <si>
    <t>Bike Stands</t>
  </si>
  <si>
    <t>Socks</t>
  </si>
  <si>
    <t>Cleaners</t>
  </si>
  <si>
    <t>Locks</t>
  </si>
  <si>
    <t>Pumps</t>
  </si>
  <si>
    <t>Chains</t>
  </si>
  <si>
    <t>salesperson_name</t>
  </si>
  <si>
    <t>Linda Mitchell</t>
  </si>
  <si>
    <t>Jillian Carson</t>
  </si>
  <si>
    <t>Michael Blythe</t>
  </si>
  <si>
    <t>Jae Pak</t>
  </si>
  <si>
    <t>Tsvi Reiter</t>
  </si>
  <si>
    <t>Shu Ito</t>
  </si>
  <si>
    <t>José Saraiva</t>
  </si>
  <si>
    <t>Ranjit Varkey Chudukatil</t>
  </si>
  <si>
    <t>David Campbell</t>
  </si>
  <si>
    <t>Garrett Vargas</t>
  </si>
  <si>
    <t>Pamela Ansman-Wolfe</t>
  </si>
  <si>
    <t>Tete Mensa-Annan</t>
  </si>
  <si>
    <t>Rachel Valdez</t>
  </si>
  <si>
    <t>Lynn Tsoflias</t>
  </si>
  <si>
    <t>customerid</t>
  </si>
  <si>
    <t>customer_name</t>
  </si>
  <si>
    <t>customer_segment</t>
  </si>
  <si>
    <t>total_spent</t>
  </si>
  <si>
    <t>first_order</t>
  </si>
  <si>
    <t>last_order</t>
  </si>
  <si>
    <t>Roger Harui</t>
  </si>
  <si>
    <t>Business</t>
  </si>
  <si>
    <t>Andrew Dixon</t>
  </si>
  <si>
    <t>Reuben D'sa</t>
  </si>
  <si>
    <t>Robert Vessa</t>
  </si>
  <si>
    <t>Ryan Calafato</t>
  </si>
  <si>
    <t>Joseph Castellucio</t>
  </si>
  <si>
    <t>Kirk DeGrasse</t>
  </si>
  <si>
    <t>Lindsey Camacho</t>
  </si>
  <si>
    <t>Robin McGuigan</t>
  </si>
  <si>
    <t>Stacey Cereghino</t>
  </si>
  <si>
    <t>Richard Bready</t>
  </si>
  <si>
    <t>Valerie Hendricks</t>
  </si>
  <si>
    <t>François Ferrier</t>
  </si>
  <si>
    <t>Blaine Dockter</t>
  </si>
  <si>
    <t>Anton Kirilov</t>
  </si>
  <si>
    <t>Mandy Vance</t>
  </si>
  <si>
    <t>Kevin Liu</t>
  </si>
  <si>
    <t>John Arthur</t>
  </si>
  <si>
    <t>Barbara Calone</t>
  </si>
  <si>
    <t>Marcia Sultan</t>
  </si>
  <si>
    <t>Steven Brown</t>
  </si>
  <si>
    <t>Janet Gates</t>
  </si>
  <si>
    <t>Holly Dickson</t>
  </si>
  <si>
    <t>Margaret Vanderkamp</t>
  </si>
  <si>
    <t>Mitch Kennedy</t>
  </si>
  <si>
    <t>Krishna Sunkammurali</t>
  </si>
  <si>
    <t>Raul Casts</t>
  </si>
  <si>
    <t>Richard Lum</t>
  </si>
  <si>
    <t>Lola McCarthy</t>
  </si>
  <si>
    <t>Scott Culp</t>
  </si>
  <si>
    <t>Kim Abercrombie</t>
  </si>
  <si>
    <t>Thomas Armstrong</t>
  </si>
  <si>
    <t>Della Demott Jr</t>
  </si>
  <si>
    <t>Patricia Vasquez</t>
  </si>
  <si>
    <t>Christopher Beck</t>
  </si>
  <si>
    <t>James McCoy</t>
  </si>
  <si>
    <t>Yuping Tian</t>
  </si>
  <si>
    <t>Eugene Kogan</t>
  </si>
  <si>
    <t>Phyllis Allen</t>
  </si>
  <si>
    <t>Kathleen Garza</t>
  </si>
  <si>
    <t>Robert Bernacchi</t>
  </si>
  <si>
    <t>Edward Kozlowski</t>
  </si>
  <si>
    <t>Joseph Cantoni</t>
  </si>
  <si>
    <t>Sandra Maynard</t>
  </si>
  <si>
    <t>John Kelly</t>
  </si>
  <si>
    <t>Cheryl Herring</t>
  </si>
  <si>
    <t>James Hendergart</t>
  </si>
  <si>
    <t>Elizabeth Sullivan</t>
  </si>
  <si>
    <t>Conor Cunningham</t>
  </si>
  <si>
    <t>Helen Dennis</t>
  </si>
  <si>
    <t>Jauna Elson</t>
  </si>
  <si>
    <t>Stefan Delmarco</t>
  </si>
  <si>
    <t>Nate Sun</t>
  </si>
  <si>
    <t>Phyllis Huntsman</t>
  </si>
  <si>
    <t>Nancy Hirota</t>
  </si>
  <si>
    <t>John Evans</t>
  </si>
  <si>
    <t>Yale Li</t>
  </si>
  <si>
    <t>Aidan Delaney</t>
  </si>
  <si>
    <t>Brannon Jones</t>
  </si>
  <si>
    <t>Bernard Duerr</t>
  </si>
  <si>
    <t>Robertson Lee</t>
  </si>
  <si>
    <t>Lee Chapla</t>
  </si>
  <si>
    <t>Phyllis Thomas</t>
  </si>
  <si>
    <t>David Johnson</t>
  </si>
  <si>
    <t>Rudolph Dillon</t>
  </si>
  <si>
    <t>Frances Adams</t>
  </si>
  <si>
    <t>David Liu</t>
  </si>
  <si>
    <t>Frank Campbell</t>
  </si>
  <si>
    <t>Donna Carreras</t>
  </si>
  <si>
    <t>Dave Browning</t>
  </si>
  <si>
    <t>Frank Mart¡nez</t>
  </si>
  <si>
    <t>Baris Cetinok</t>
  </si>
  <si>
    <t>Jane McCarty</t>
  </si>
  <si>
    <t>John Brooks</t>
  </si>
  <si>
    <t>Jeffrey Kurtz</t>
  </si>
  <si>
    <t>Carlton Carlisle</t>
  </si>
  <si>
    <t>Sairaj Uddin</t>
  </si>
  <si>
    <t>Stacie Mcanich</t>
  </si>
  <si>
    <t>Nieves Vargas</t>
  </si>
  <si>
    <t>Shawn Demicell</t>
  </si>
  <si>
    <t>Thierry D'Hers</t>
  </si>
  <si>
    <t>Terry Eminhizer</t>
  </si>
  <si>
    <t>Min Su</t>
  </si>
  <si>
    <t>Lori Kane</t>
  </si>
  <si>
    <t>Matthias Berndt</t>
  </si>
  <si>
    <t>Juanita Holman</t>
  </si>
  <si>
    <t>Gustavo Camargo</t>
  </si>
  <si>
    <t>Mary Gimmi</t>
  </si>
  <si>
    <t>Mari Caldwell</t>
  </si>
  <si>
    <t>Mary Kesslep</t>
  </si>
  <si>
    <t>Michael Allen</t>
  </si>
  <si>
    <t>Abigail Gonzalez</t>
  </si>
  <si>
    <t>Jinghao Liu</t>
  </si>
  <si>
    <t>Judith Krane</t>
  </si>
  <si>
    <t>Mike Choi</t>
  </si>
  <si>
    <t>Shane Kim</t>
  </si>
  <si>
    <t>Jacob Dean</t>
  </si>
  <si>
    <t>Maxwell Amland</t>
  </si>
  <si>
    <t>Karen Theisen</t>
  </si>
  <si>
    <t>Jean Jordan</t>
  </si>
  <si>
    <t>prev_year_revenue</t>
  </si>
  <si>
    <t>yoy_growth_pct</t>
  </si>
  <si>
    <t>AdventureWorks Sales Analytics - KPI Summary</t>
  </si>
  <si>
    <t>Total Revenue</t>
  </si>
  <si>
    <t>Total Orders</t>
  </si>
  <si>
    <t>Total Customers</t>
  </si>
  <si>
    <t>Avg Order Value</t>
  </si>
  <si>
    <t>Date Range</t>
  </si>
  <si>
    <t>May 2022 - June 2025</t>
  </si>
  <si>
    <t>Years of Data</t>
  </si>
  <si>
    <t>Top Territory</t>
  </si>
  <si>
    <t>Southwest ($27.1M)</t>
  </si>
  <si>
    <t>Top Category</t>
  </si>
  <si>
    <t>Bikes (77% of revenue)</t>
  </si>
  <si>
    <t>Top Salesperson</t>
  </si>
  <si>
    <t>Linda Mitchell(11.6M)</t>
  </si>
  <si>
    <t>Top Customer</t>
  </si>
  <si>
    <t>Roger Harui(989K)</t>
  </si>
  <si>
    <t>Key Insight</t>
  </si>
  <si>
    <t>Orders grew 8x from 2022-2024 but avg order value dropped 80%</t>
  </si>
  <si>
    <t>Row Labels</t>
  </si>
  <si>
    <t>Grand Total</t>
  </si>
  <si>
    <t>Sum of total_orders</t>
  </si>
  <si>
    <t>Revenue</t>
  </si>
  <si>
    <t>Orders</t>
  </si>
  <si>
    <t>Year</t>
  </si>
  <si>
    <t>Units sold</t>
  </si>
  <si>
    <t>Category</t>
  </si>
  <si>
    <t>Trend</t>
  </si>
  <si>
    <t>Salesperson Name</t>
  </si>
  <si>
    <t>Sum of yoy_growth_pct</t>
  </si>
  <si>
    <t>AdventureWorks Sales Analytics Dashboard</t>
  </si>
  <si>
    <t>2022 - 2024 | PostgreSQL • Python • Excel • Tableau</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</si>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</sst>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8" formatCode="&quot;$&quot;#,##0"/>
  </numFmts>
  <fonts count="7">
    <font>
      <sz val="11"/>
      <color theme="1"/>
      <name val="Calibri"/>
      <family val="2"/>
      <scheme val="minor"/>
    </font>
    <font>
      <b/>
      <sz val="11"/>
      <name val="Calibri"/>
    </font>
    <font>
      <sz val="10"/>
      <color theme="1"/>
      <name val="Arial Unicode MS"/>
    </font>
    <font>
      <b/>
      <sz val="20"/>
      <color theme="3"/>
      <name val="Calibri"/>
      <family val="2"/>
      <scheme val="minor"/>
    </font>
    <font>
      <sz val="11"/>
      <color theme="1" tint="0.499984740745262"/>
      <name val="Calibri"/>
      <family val="2"/>
      <scheme val="minor"/>
    </font>
    <font>
      <sz val="10"/>
      <color theme="1" tint="0.499984740745262"/>
      <name val="Calibri"/>
      <family val="2"/>
      <scheme val="minor"/>
    </font>
    <font>
      <b/>
      <sz val="18"/>
      <color theme="1"/>
      <name val="Calibri"/>
      <family val="2"/>
      <scheme val="minor"/>
    </font>
  </fonts>
  <fills count="4">
    <fill>
      <patternFill patternType="none"/>
    </fill>
    <fill>
      <patternFill patternType="gray125"/>
    </fill>
    <fill>
      <patternFill patternType="solid">
        <fgColor rgb="FFF5F5F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165" fontId="2" fillId="0" borderId="0" xfId="0" applyNumberFormat="1" applyFont="1"/>
    <xf numFmtId="3"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right"/>
    </xf>
    <xf numFmtId="0" fontId="0" fillId="2" borderId="0" xfId="0" applyFill="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5" fillId="3" borderId="0" xfId="0" applyFont="1" applyFill="1"/>
    <xf numFmtId="3" fontId="6" fillId="3" borderId="0" xfId="0" applyNumberFormat="1" applyFont="1" applyFill="1"/>
    <xf numFmtId="3" fontId="1" fillId="0" borderId="1" xfId="0" applyNumberFormat="1" applyFont="1" applyBorder="1" applyAlignment="1">
      <alignment horizontal="center" vertical="top"/>
    </xf>
    <xf numFmtId="3" fontId="2" fillId="0" borderId="0" xfId="0" applyNumberFormat="1" applyFont="1"/>
    <xf numFmtId="165" fontId="6" fillId="3" borderId="0" xfId="0" applyNumberFormat="1" applyFont="1" applyFill="1"/>
    <xf numFmtId="168" fontId="6" fillId="3" borderId="0" xfId="0" applyNumberFormat="1" applyFont="1" applyFill="1"/>
  </cellXfs>
  <cellStyles count="1">
    <cellStyle name="Normal" xfId="0" builtinId="0"/>
  </cellStyles>
  <dxfs count="12">
    <dxf>
      <alignment horizontal="right"/>
    </dxf>
    <dxf>
      <alignment horizontal="right"/>
    </dxf>
    <dxf>
      <alignment horizontal="right"/>
    </dxf>
    <dxf>
      <alignment horizontal="right"/>
    </dxf>
    <dxf>
      <alignment horizontal="right"/>
    </dxf>
    <dxf>
      <alignment horizontal="right"/>
    </dxf>
    <dxf>
      <font>
        <color rgb="FF006100"/>
      </font>
      <fill>
        <patternFill>
          <bgColor rgb="FFC6EFCE"/>
        </patternFill>
      </fill>
    </dxf>
    <dxf>
      <font>
        <color rgb="FF9C0006"/>
      </font>
      <fill>
        <patternFill>
          <bgColor rgb="FFFFC7CE"/>
        </patternFill>
      </fill>
    </dxf>
    <dxf>
      <alignment horizontal="right"/>
    </dxf>
    <dxf>
      <numFmt numFmtId="3" formatCode="#,##0"/>
    </dxf>
    <dxf>
      <numFmt numFmtId="165" formatCode="&quot;$&quot;#,##0.00"/>
    </dxf>
    <dxf>
      <numFmt numFmtId="34" formatCode="_(&quot;$&quot;* #,##0.00_);_(&quot;$&quot;* \(#,##0.00\);_(&quot;$&quot;* &quot;-&quot;??_);_(@_)"/>
    </dxf>
  </dxfs>
  <tableStyles count="0" defaultTableStyle="TableStyleMedium9"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Yearly Revenue!PivotTable1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Annual Revenue &amp; Order Trend 2022-2024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Yearly Revenue'!$B$3</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Yearly Revenue'!$A$4:$A$7</c:f>
              <c:strCache>
                <c:ptCount val="3"/>
                <c:pt idx="0">
                  <c:v>2022</c:v>
                </c:pt>
                <c:pt idx="1">
                  <c:v>2023</c:v>
                </c:pt>
                <c:pt idx="2">
                  <c:v>2024</c:v>
                </c:pt>
              </c:strCache>
            </c:strRef>
          </c:cat>
          <c:val>
            <c:numRef>
              <c:f>'Pivot - Yearly Revenue'!$B$4:$B$7</c:f>
              <c:numCache>
                <c:formatCode>"$"#,##0.00</c:formatCode>
                <c:ptCount val="3"/>
                <c:pt idx="0">
                  <c:v>16316694.17</c:v>
                </c:pt>
                <c:pt idx="1">
                  <c:v>35514705.670000002</c:v>
                </c:pt>
                <c:pt idx="2">
                  <c:v>49020486.530000001</c:v>
                </c:pt>
              </c:numCache>
            </c:numRef>
          </c:val>
          <c:smooth val="0"/>
          <c:extLst>
            <c:ext xmlns:c16="http://schemas.microsoft.com/office/drawing/2014/chart" uri="{C3380CC4-5D6E-409C-BE32-E72D297353CC}">
              <c16:uniqueId val="{00000000-0EF8-4028-AAF1-5B4F490D06E3}"/>
            </c:ext>
          </c:extLst>
        </c:ser>
        <c:dLbls>
          <c:showLegendKey val="0"/>
          <c:showVal val="0"/>
          <c:showCatName val="0"/>
          <c:showSerName val="0"/>
          <c:showPercent val="0"/>
          <c:showBubbleSize val="0"/>
        </c:dLbls>
        <c:marker val="1"/>
        <c:smooth val="0"/>
        <c:axId val="846974239"/>
        <c:axId val="846976639"/>
      </c:lineChart>
      <c:lineChart>
        <c:grouping val="standard"/>
        <c:varyColors val="0"/>
        <c:ser>
          <c:idx val="1"/>
          <c:order val="1"/>
          <c:tx>
            <c:strRef>
              <c:f>'Pivot - Yearly Revenue'!$C$3</c:f>
              <c:strCache>
                <c:ptCount val="1"/>
                <c:pt idx="0">
                  <c:v>Orders</c:v>
                </c:pt>
              </c:strCache>
            </c:strRef>
          </c:tx>
          <c:spPr>
            <a:ln w="28575" cap="rnd">
              <a:solidFill>
                <a:schemeClr val="accent2"/>
              </a:solidFill>
              <a:round/>
            </a:ln>
            <a:effectLst/>
          </c:spPr>
          <c:marker>
            <c:symbol val="none"/>
          </c:marker>
          <c:cat>
            <c:strRef>
              <c:f>'Pivot - Yearly Revenue'!$A$4:$A$7</c:f>
              <c:strCache>
                <c:ptCount val="3"/>
                <c:pt idx="0">
                  <c:v>2022</c:v>
                </c:pt>
                <c:pt idx="1">
                  <c:v>2023</c:v>
                </c:pt>
                <c:pt idx="2">
                  <c:v>2024</c:v>
                </c:pt>
              </c:strCache>
            </c:strRef>
          </c:cat>
          <c:val>
            <c:numRef>
              <c:f>'Pivot - Yearly Revenue'!$C$4:$C$7</c:f>
              <c:numCache>
                <c:formatCode>#,##0</c:formatCode>
                <c:ptCount val="3"/>
                <c:pt idx="0">
                  <c:v>1692</c:v>
                </c:pt>
                <c:pt idx="1">
                  <c:v>3830</c:v>
                </c:pt>
                <c:pt idx="2">
                  <c:v>14244</c:v>
                </c:pt>
              </c:numCache>
            </c:numRef>
          </c:val>
          <c:smooth val="0"/>
          <c:extLst>
            <c:ext xmlns:c16="http://schemas.microsoft.com/office/drawing/2014/chart" uri="{C3380CC4-5D6E-409C-BE32-E72D297353CC}">
              <c16:uniqueId val="{00000001-0EF8-4028-AAF1-5B4F490D06E3}"/>
            </c:ext>
          </c:extLst>
        </c:ser>
        <c:dLbls>
          <c:showLegendKey val="0"/>
          <c:showVal val="0"/>
          <c:showCatName val="0"/>
          <c:showSerName val="0"/>
          <c:showPercent val="0"/>
          <c:showBubbleSize val="0"/>
        </c:dLbls>
        <c:marker val="1"/>
        <c:smooth val="0"/>
        <c:axId val="716160703"/>
        <c:axId val="716138623"/>
      </c:lineChart>
      <c:catAx>
        <c:axId val="84697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6639"/>
        <c:crosses val="autoZero"/>
        <c:auto val="1"/>
        <c:lblAlgn val="ctr"/>
        <c:lblOffset val="100"/>
        <c:noMultiLvlLbl val="0"/>
      </c:catAx>
      <c:valAx>
        <c:axId val="84697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42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71613862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60703"/>
        <c:crosses val="max"/>
        <c:crossBetween val="between"/>
      </c:valAx>
      <c:catAx>
        <c:axId val="716160703"/>
        <c:scaling>
          <c:orientation val="minMax"/>
        </c:scaling>
        <c:delete val="1"/>
        <c:axPos val="b"/>
        <c:numFmt formatCode="General" sourceLinked="1"/>
        <c:majorTickMark val="out"/>
        <c:minorTickMark val="none"/>
        <c:tickLblPos val="nextTo"/>
        <c:crossAx val="716138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Category'!$B$3</c:f>
              <c:strCache>
                <c:ptCount val="1"/>
                <c:pt idx="0">
                  <c:v>Revenue</c:v>
                </c:pt>
              </c:strCache>
            </c:strRef>
          </c:tx>
          <c:spPr>
            <a:solidFill>
              <a:schemeClr val="accent1"/>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Category'!$B$4:$B$8</c:f>
              <c:numCache>
                <c:formatCode>"$"#,##0.00</c:formatCode>
                <c:ptCount val="4"/>
                <c:pt idx="0">
                  <c:v>1272072.8900000001</c:v>
                </c:pt>
                <c:pt idx="1">
                  <c:v>2120542.5300000003</c:v>
                </c:pt>
                <c:pt idx="2">
                  <c:v>11802593.289999999</c:v>
                </c:pt>
                <c:pt idx="3">
                  <c:v>94651172.709999993</c:v>
                </c:pt>
              </c:numCache>
            </c:numRef>
          </c:val>
          <c:extLst>
            <c:ext xmlns:c16="http://schemas.microsoft.com/office/drawing/2014/chart" uri="{C3380CC4-5D6E-409C-BE32-E72D297353CC}">
              <c16:uniqueId val="{00000000-8C4F-4F02-8D6A-151386090E02}"/>
            </c:ext>
          </c:extLst>
        </c:ser>
        <c:ser>
          <c:idx val="1"/>
          <c:order val="1"/>
          <c:tx>
            <c:strRef>
              <c:f>'Pivot - Category'!$C$3</c:f>
              <c:strCache>
                <c:ptCount val="1"/>
                <c:pt idx="0">
                  <c:v>Units sold</c:v>
                </c:pt>
              </c:strCache>
            </c:strRef>
          </c:tx>
          <c:spPr>
            <a:solidFill>
              <a:schemeClr val="accent2"/>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Category'!$C$4:$C$8</c:f>
              <c:numCache>
                <c:formatCode>#,##0</c:formatCode>
                <c:ptCount val="4"/>
                <c:pt idx="0">
                  <c:v>61932</c:v>
                </c:pt>
                <c:pt idx="1">
                  <c:v>73670</c:v>
                </c:pt>
                <c:pt idx="2">
                  <c:v>49044</c:v>
                </c:pt>
                <c:pt idx="3">
                  <c:v>90268</c:v>
                </c:pt>
              </c:numCache>
            </c:numRef>
          </c:val>
          <c:extLst>
            <c:ext xmlns:c16="http://schemas.microsoft.com/office/drawing/2014/chart" uri="{C3380CC4-5D6E-409C-BE32-E72D297353CC}">
              <c16:uniqueId val="{00000001-8C4F-4F02-8D6A-151386090E02}"/>
            </c:ext>
          </c:extLst>
        </c:ser>
        <c:dLbls>
          <c:showLegendKey val="0"/>
          <c:showVal val="0"/>
          <c:showCatName val="0"/>
          <c:showSerName val="0"/>
          <c:showPercent val="0"/>
          <c:showBubbleSize val="0"/>
        </c:dLbls>
        <c:gapWidth val="500"/>
        <c:overlap val="100"/>
        <c:axId val="716141983"/>
        <c:axId val="716147263"/>
      </c:barChart>
      <c:catAx>
        <c:axId val="71614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7263"/>
        <c:crosses val="autoZero"/>
        <c:auto val="1"/>
        <c:lblAlgn val="ctr"/>
        <c:lblOffset val="100"/>
        <c:noMultiLvlLbl val="0"/>
      </c:catAx>
      <c:valAx>
        <c:axId val="7161472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19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Territory!PivotTable3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Territory'!$B$3</c:f>
              <c:strCache>
                <c:ptCount val="1"/>
                <c:pt idx="0">
                  <c:v>Revenue</c:v>
                </c:pt>
              </c:strCache>
            </c:strRef>
          </c:tx>
          <c:spPr>
            <a:solidFill>
              <a:schemeClr val="accent1"/>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Territory'!$B$4:$B$14</c:f>
              <c:numCache>
                <c:formatCode>"$"#,##0.00</c:formatCode>
                <c:ptCount val="10"/>
                <c:pt idx="0">
                  <c:v>5479819.5800000001</c:v>
                </c:pt>
                <c:pt idx="1">
                  <c:v>7820209.6299999999</c:v>
                </c:pt>
                <c:pt idx="2">
                  <c:v>8119749.3499999996</c:v>
                </c:pt>
                <c:pt idx="3">
                  <c:v>8574048.7100000009</c:v>
                </c:pt>
                <c:pt idx="4">
                  <c:v>8884099.3699999992</c:v>
                </c:pt>
                <c:pt idx="5">
                  <c:v>8913299.25</c:v>
                </c:pt>
                <c:pt idx="6">
                  <c:v>11814376.1</c:v>
                </c:pt>
                <c:pt idx="7">
                  <c:v>18061660.370000001</c:v>
                </c:pt>
                <c:pt idx="8">
                  <c:v>18398929.190000001</c:v>
                </c:pt>
                <c:pt idx="9">
                  <c:v>27150594.59</c:v>
                </c:pt>
              </c:numCache>
            </c:numRef>
          </c:val>
          <c:extLst>
            <c:ext xmlns:c16="http://schemas.microsoft.com/office/drawing/2014/chart" uri="{C3380CC4-5D6E-409C-BE32-E72D297353CC}">
              <c16:uniqueId val="{00000000-ED47-40C8-BC85-C751659514D7}"/>
            </c:ext>
          </c:extLst>
        </c:ser>
        <c:ser>
          <c:idx val="1"/>
          <c:order val="1"/>
          <c:tx>
            <c:strRef>
              <c:f>'Pivot - Territory'!$C$3</c:f>
              <c:strCache>
                <c:ptCount val="1"/>
                <c:pt idx="0">
                  <c:v>Total Customers</c:v>
                </c:pt>
              </c:strCache>
            </c:strRef>
          </c:tx>
          <c:spPr>
            <a:solidFill>
              <a:schemeClr val="accent2"/>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Territory'!$C$4:$C$14</c:f>
              <c:numCache>
                <c:formatCode>#,##0</c:formatCode>
                <c:ptCount val="10"/>
                <c:pt idx="0">
                  <c:v>1812</c:v>
                </c:pt>
                <c:pt idx="1">
                  <c:v>57</c:v>
                </c:pt>
                <c:pt idx="2">
                  <c:v>1844</c:v>
                </c:pt>
                <c:pt idx="3">
                  <c:v>1951</c:v>
                </c:pt>
                <c:pt idx="4">
                  <c:v>91</c:v>
                </c:pt>
                <c:pt idx="5">
                  <c:v>69</c:v>
                </c:pt>
                <c:pt idx="6">
                  <c:v>3625</c:v>
                </c:pt>
                <c:pt idx="7">
                  <c:v>3428</c:v>
                </c:pt>
                <c:pt idx="8">
                  <c:v>1677</c:v>
                </c:pt>
                <c:pt idx="9">
                  <c:v>4565</c:v>
                </c:pt>
              </c:numCache>
            </c:numRef>
          </c:val>
          <c:extLst>
            <c:ext xmlns:c16="http://schemas.microsoft.com/office/drawing/2014/chart" uri="{C3380CC4-5D6E-409C-BE32-E72D297353CC}">
              <c16:uniqueId val="{00000001-ED47-40C8-BC85-C751659514D7}"/>
            </c:ext>
          </c:extLst>
        </c:ser>
        <c:dLbls>
          <c:showLegendKey val="0"/>
          <c:showVal val="0"/>
          <c:showCatName val="0"/>
          <c:showSerName val="0"/>
          <c:showPercent val="0"/>
          <c:showBubbleSize val="0"/>
        </c:dLbls>
        <c:gapWidth val="182"/>
        <c:axId val="840793135"/>
        <c:axId val="840794575"/>
      </c:barChart>
      <c:catAx>
        <c:axId val="84079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4575"/>
        <c:crosses val="autoZero"/>
        <c:auto val="1"/>
        <c:lblAlgn val="ctr"/>
        <c:lblOffset val="100"/>
        <c:noMultiLvlLbl val="0"/>
      </c:catAx>
      <c:valAx>
        <c:axId val="840794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313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Salesperson!PivotTable4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Salesperson Performance by Revenue</a:t>
            </a:r>
            <a:endParaRPr lang="en-US"/>
          </a:p>
        </c:rich>
      </c:tx>
      <c:layout>
        <c:manualLayout>
          <c:xMode val="edge"/>
          <c:yMode val="edge"/>
          <c:x val="0.2394722222222222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06664348463306"/>
          <c:y val="0.17171296296296296"/>
          <c:w val="0.51604752939227094"/>
          <c:h val="0.66438283756197136"/>
        </c:manualLayout>
      </c:layout>
      <c:barChart>
        <c:barDir val="bar"/>
        <c:grouping val="clustered"/>
        <c:varyColors val="0"/>
        <c:ser>
          <c:idx val="0"/>
          <c:order val="0"/>
          <c:tx>
            <c:strRef>
              <c:f>'Pivot - Salesperson'!$B$3</c:f>
              <c:strCache>
                <c:ptCount val="1"/>
                <c:pt idx="0">
                  <c:v>Revenue</c:v>
                </c:pt>
              </c:strCache>
            </c:strRef>
          </c:tx>
          <c:spPr>
            <a:solidFill>
              <a:schemeClr val="accent1"/>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Salesperson'!$B$4:$B$18</c:f>
              <c:numCache>
                <c:formatCode>"$"#,##0.00</c:formatCode>
                <c:ptCount val="14"/>
                <c:pt idx="0">
                  <c:v>11695019.060000001</c:v>
                </c:pt>
                <c:pt idx="1">
                  <c:v>11342385.9</c:v>
                </c:pt>
                <c:pt idx="2">
                  <c:v>10475367.08</c:v>
                </c:pt>
                <c:pt idx="3">
                  <c:v>9585124.9499999993</c:v>
                </c:pt>
                <c:pt idx="4">
                  <c:v>8086073.6799999997</c:v>
                </c:pt>
                <c:pt idx="5">
                  <c:v>7259567.8799999999</c:v>
                </c:pt>
                <c:pt idx="6">
                  <c:v>6683536.6600000001</c:v>
                </c:pt>
                <c:pt idx="7">
                  <c:v>5087977.21</c:v>
                </c:pt>
                <c:pt idx="8">
                  <c:v>4207894.5999999996</c:v>
                </c:pt>
                <c:pt idx="9">
                  <c:v>4069422.21</c:v>
                </c:pt>
                <c:pt idx="10">
                  <c:v>3748246.12</c:v>
                </c:pt>
                <c:pt idx="11">
                  <c:v>2608116.38</c:v>
                </c:pt>
                <c:pt idx="12">
                  <c:v>2062393.14</c:v>
                </c:pt>
                <c:pt idx="13">
                  <c:v>1606441.45</c:v>
                </c:pt>
              </c:numCache>
            </c:numRef>
          </c:val>
          <c:extLst>
            <c:ext xmlns:c16="http://schemas.microsoft.com/office/drawing/2014/chart" uri="{C3380CC4-5D6E-409C-BE32-E72D297353CC}">
              <c16:uniqueId val="{00000000-9E82-45D9-A1F8-595B9C736CE1}"/>
            </c:ext>
          </c:extLst>
        </c:ser>
        <c:ser>
          <c:idx val="1"/>
          <c:order val="1"/>
          <c:tx>
            <c:strRef>
              <c:f>'Pivot - Salesperson'!$C$3</c:f>
              <c:strCache>
                <c:ptCount val="1"/>
                <c:pt idx="0">
                  <c:v>Sum of total_orders</c:v>
                </c:pt>
              </c:strCache>
            </c:strRef>
          </c:tx>
          <c:spPr>
            <a:solidFill>
              <a:schemeClr val="accent2"/>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Salesperson'!$C$4:$C$18</c:f>
              <c:numCache>
                <c:formatCode>#,##0</c:formatCode>
                <c:ptCount val="14"/>
                <c:pt idx="0">
                  <c:v>418</c:v>
                </c:pt>
                <c:pt idx="1">
                  <c:v>473</c:v>
                </c:pt>
                <c:pt idx="2">
                  <c:v>450</c:v>
                </c:pt>
                <c:pt idx="3">
                  <c:v>348</c:v>
                </c:pt>
                <c:pt idx="4">
                  <c:v>429</c:v>
                </c:pt>
                <c:pt idx="5">
                  <c:v>242</c:v>
                </c:pt>
                <c:pt idx="6">
                  <c:v>271</c:v>
                </c:pt>
                <c:pt idx="7">
                  <c:v>175</c:v>
                </c:pt>
                <c:pt idx="8">
                  <c:v>189</c:v>
                </c:pt>
                <c:pt idx="9">
                  <c:v>234</c:v>
                </c:pt>
                <c:pt idx="10">
                  <c:v>95</c:v>
                </c:pt>
                <c:pt idx="11">
                  <c:v>140</c:v>
                </c:pt>
                <c:pt idx="12">
                  <c:v>130</c:v>
                </c:pt>
                <c:pt idx="13">
                  <c:v>109</c:v>
                </c:pt>
              </c:numCache>
            </c:numRef>
          </c:val>
          <c:extLst>
            <c:ext xmlns:c16="http://schemas.microsoft.com/office/drawing/2014/chart" uri="{C3380CC4-5D6E-409C-BE32-E72D297353CC}">
              <c16:uniqueId val="{00000001-9E82-45D9-A1F8-595B9C736CE1}"/>
            </c:ext>
          </c:extLst>
        </c:ser>
        <c:dLbls>
          <c:showLegendKey val="0"/>
          <c:showVal val="0"/>
          <c:showCatName val="0"/>
          <c:showSerName val="0"/>
          <c:showPercent val="0"/>
          <c:showBubbleSize val="0"/>
        </c:dLbls>
        <c:gapWidth val="182"/>
        <c:axId val="459490383"/>
        <c:axId val="459503823"/>
      </c:barChart>
      <c:catAx>
        <c:axId val="45949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03823"/>
        <c:crosses val="autoZero"/>
        <c:auto val="1"/>
        <c:lblAlgn val="ctr"/>
        <c:lblOffset val="100"/>
        <c:noMultiLvlLbl val="0"/>
      </c:catAx>
      <c:valAx>
        <c:axId val="459503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903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Yearly Revenue!PivotTable1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Annual Revenue &amp; Order Trend 2022-2024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Yearly Revenue'!$B$3</c:f>
              <c:strCache>
                <c:ptCount val="1"/>
                <c:pt idx="0">
                  <c:v>Revenue</c:v>
                </c:pt>
              </c:strCache>
            </c:strRef>
          </c:tx>
          <c:spPr>
            <a:ln w="28575" cap="rnd">
              <a:solidFill>
                <a:schemeClr val="accent1"/>
              </a:solidFill>
              <a:round/>
            </a:ln>
            <a:effectLst/>
          </c:spPr>
          <c:marker>
            <c:symbol val="none"/>
          </c:marker>
          <c:cat>
            <c:strRef>
              <c:f>'Pivot - Yearly Revenue'!$A$4:$A$7</c:f>
              <c:strCache>
                <c:ptCount val="3"/>
                <c:pt idx="0">
                  <c:v>2022</c:v>
                </c:pt>
                <c:pt idx="1">
                  <c:v>2023</c:v>
                </c:pt>
                <c:pt idx="2">
                  <c:v>2024</c:v>
                </c:pt>
              </c:strCache>
            </c:strRef>
          </c:cat>
          <c:val>
            <c:numRef>
              <c:f>'Pivot - Yearly Revenue'!$B$4:$B$7</c:f>
              <c:numCache>
                <c:formatCode>"$"#,##0.00</c:formatCode>
                <c:ptCount val="3"/>
                <c:pt idx="0">
                  <c:v>16316694.17</c:v>
                </c:pt>
                <c:pt idx="1">
                  <c:v>35514705.670000002</c:v>
                </c:pt>
                <c:pt idx="2">
                  <c:v>49020486.530000001</c:v>
                </c:pt>
              </c:numCache>
            </c:numRef>
          </c:val>
          <c:smooth val="0"/>
          <c:extLst>
            <c:ext xmlns:c16="http://schemas.microsoft.com/office/drawing/2014/chart" uri="{C3380CC4-5D6E-409C-BE32-E72D297353CC}">
              <c16:uniqueId val="{00000000-7BD1-4A97-9CC3-A2F70BC15E1D}"/>
            </c:ext>
          </c:extLst>
        </c:ser>
        <c:dLbls>
          <c:showLegendKey val="0"/>
          <c:showVal val="0"/>
          <c:showCatName val="0"/>
          <c:showSerName val="0"/>
          <c:showPercent val="0"/>
          <c:showBubbleSize val="0"/>
        </c:dLbls>
        <c:marker val="1"/>
        <c:smooth val="0"/>
        <c:axId val="846974239"/>
        <c:axId val="846976639"/>
      </c:lineChart>
      <c:lineChart>
        <c:grouping val="standard"/>
        <c:varyColors val="0"/>
        <c:ser>
          <c:idx val="1"/>
          <c:order val="1"/>
          <c:tx>
            <c:strRef>
              <c:f>'Pivot - Yearly Revenue'!$C$3</c:f>
              <c:strCache>
                <c:ptCount val="1"/>
                <c:pt idx="0">
                  <c:v>Orders</c:v>
                </c:pt>
              </c:strCache>
            </c:strRef>
          </c:tx>
          <c:spPr>
            <a:ln w="28575" cap="rnd">
              <a:solidFill>
                <a:schemeClr val="accent2"/>
              </a:solidFill>
              <a:round/>
            </a:ln>
            <a:effectLst/>
          </c:spPr>
          <c:marker>
            <c:symbol val="none"/>
          </c:marker>
          <c:cat>
            <c:strRef>
              <c:f>'Pivot - Yearly Revenue'!$A$4:$A$7</c:f>
              <c:strCache>
                <c:ptCount val="3"/>
                <c:pt idx="0">
                  <c:v>2022</c:v>
                </c:pt>
                <c:pt idx="1">
                  <c:v>2023</c:v>
                </c:pt>
                <c:pt idx="2">
                  <c:v>2024</c:v>
                </c:pt>
              </c:strCache>
            </c:strRef>
          </c:cat>
          <c:val>
            <c:numRef>
              <c:f>'Pivot - Yearly Revenue'!$C$4:$C$7</c:f>
              <c:numCache>
                <c:formatCode>#,##0</c:formatCode>
                <c:ptCount val="3"/>
                <c:pt idx="0">
                  <c:v>1692</c:v>
                </c:pt>
                <c:pt idx="1">
                  <c:v>3830</c:v>
                </c:pt>
                <c:pt idx="2">
                  <c:v>14244</c:v>
                </c:pt>
              </c:numCache>
            </c:numRef>
          </c:val>
          <c:smooth val="0"/>
          <c:extLst>
            <c:ext xmlns:c16="http://schemas.microsoft.com/office/drawing/2014/chart" uri="{C3380CC4-5D6E-409C-BE32-E72D297353CC}">
              <c16:uniqueId val="{00000001-7BD1-4A97-9CC3-A2F70BC15E1D}"/>
            </c:ext>
          </c:extLst>
        </c:ser>
        <c:dLbls>
          <c:showLegendKey val="0"/>
          <c:showVal val="0"/>
          <c:showCatName val="0"/>
          <c:showSerName val="0"/>
          <c:showPercent val="0"/>
          <c:showBubbleSize val="0"/>
        </c:dLbls>
        <c:marker val="1"/>
        <c:smooth val="0"/>
        <c:axId val="716160703"/>
        <c:axId val="716138623"/>
      </c:lineChart>
      <c:catAx>
        <c:axId val="84697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6639"/>
        <c:crosses val="autoZero"/>
        <c:auto val="1"/>
        <c:lblAlgn val="ctr"/>
        <c:lblOffset val="100"/>
        <c:noMultiLvlLbl val="0"/>
      </c:catAx>
      <c:valAx>
        <c:axId val="846976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742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71613862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60703"/>
        <c:crosses val="max"/>
        <c:crossBetween val="between"/>
      </c:valAx>
      <c:catAx>
        <c:axId val="716160703"/>
        <c:scaling>
          <c:orientation val="minMax"/>
        </c:scaling>
        <c:delete val="1"/>
        <c:axPos val="b"/>
        <c:numFmt formatCode="General" sourceLinked="1"/>
        <c:majorTickMark val="out"/>
        <c:minorTickMark val="none"/>
        <c:tickLblPos val="nextTo"/>
        <c:crossAx val="716138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Category'!$B$3</c:f>
              <c:strCache>
                <c:ptCount val="1"/>
                <c:pt idx="0">
                  <c:v>Revenue</c:v>
                </c:pt>
              </c:strCache>
            </c:strRef>
          </c:tx>
          <c:spPr>
            <a:solidFill>
              <a:schemeClr val="accent1"/>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Category'!$B$4:$B$8</c:f>
              <c:numCache>
                <c:formatCode>"$"#,##0.00</c:formatCode>
                <c:ptCount val="4"/>
                <c:pt idx="0">
                  <c:v>1272072.8900000001</c:v>
                </c:pt>
                <c:pt idx="1">
                  <c:v>2120542.5300000003</c:v>
                </c:pt>
                <c:pt idx="2">
                  <c:v>11802593.289999999</c:v>
                </c:pt>
                <c:pt idx="3">
                  <c:v>94651172.709999993</c:v>
                </c:pt>
              </c:numCache>
            </c:numRef>
          </c:val>
          <c:extLst>
            <c:ext xmlns:c16="http://schemas.microsoft.com/office/drawing/2014/chart" uri="{C3380CC4-5D6E-409C-BE32-E72D297353CC}">
              <c16:uniqueId val="{00000000-E9A9-45A1-A273-03AF5E8BA24A}"/>
            </c:ext>
          </c:extLst>
        </c:ser>
        <c:ser>
          <c:idx val="1"/>
          <c:order val="1"/>
          <c:tx>
            <c:strRef>
              <c:f>'Pivot - Category'!$C$3</c:f>
              <c:strCache>
                <c:ptCount val="1"/>
                <c:pt idx="0">
                  <c:v>Units sold</c:v>
                </c:pt>
              </c:strCache>
            </c:strRef>
          </c:tx>
          <c:spPr>
            <a:solidFill>
              <a:schemeClr val="accent2"/>
            </a:solidFill>
            <a:ln>
              <a:noFill/>
            </a:ln>
            <a:effectLst/>
          </c:spPr>
          <c:invertIfNegative val="0"/>
          <c:cat>
            <c:strRef>
              <c:f>'Pivot - Category'!$A$4:$A$8</c:f>
              <c:strCache>
                <c:ptCount val="4"/>
                <c:pt idx="0">
                  <c:v>Accessories</c:v>
                </c:pt>
                <c:pt idx="1">
                  <c:v>Clothing</c:v>
                </c:pt>
                <c:pt idx="2">
                  <c:v>Components</c:v>
                </c:pt>
                <c:pt idx="3">
                  <c:v>Bikes</c:v>
                </c:pt>
              </c:strCache>
            </c:strRef>
          </c:cat>
          <c:val>
            <c:numRef>
              <c:f>'Pivot - Category'!$C$4:$C$8</c:f>
              <c:numCache>
                <c:formatCode>#,##0</c:formatCode>
                <c:ptCount val="4"/>
                <c:pt idx="0">
                  <c:v>61932</c:v>
                </c:pt>
                <c:pt idx="1">
                  <c:v>73670</c:v>
                </c:pt>
                <c:pt idx="2">
                  <c:v>49044</c:v>
                </c:pt>
                <c:pt idx="3">
                  <c:v>90268</c:v>
                </c:pt>
              </c:numCache>
            </c:numRef>
          </c:val>
          <c:extLst>
            <c:ext xmlns:c16="http://schemas.microsoft.com/office/drawing/2014/chart" uri="{C3380CC4-5D6E-409C-BE32-E72D297353CC}">
              <c16:uniqueId val="{00000047-E9A9-45A1-A273-03AF5E8BA24A}"/>
            </c:ext>
          </c:extLst>
        </c:ser>
        <c:dLbls>
          <c:showLegendKey val="0"/>
          <c:showVal val="0"/>
          <c:showCatName val="0"/>
          <c:showSerName val="0"/>
          <c:showPercent val="0"/>
          <c:showBubbleSize val="0"/>
        </c:dLbls>
        <c:gapWidth val="500"/>
        <c:overlap val="100"/>
        <c:axId val="716141983"/>
        <c:axId val="716147263"/>
      </c:barChart>
      <c:catAx>
        <c:axId val="71614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7263"/>
        <c:crosses val="autoZero"/>
        <c:auto val="1"/>
        <c:lblAlgn val="ctr"/>
        <c:lblOffset val="100"/>
        <c:noMultiLvlLbl val="0"/>
      </c:catAx>
      <c:valAx>
        <c:axId val="7161472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19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Territory!PivotTable3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Territory'!$B$3</c:f>
              <c:strCache>
                <c:ptCount val="1"/>
                <c:pt idx="0">
                  <c:v>Revenue</c:v>
                </c:pt>
              </c:strCache>
            </c:strRef>
          </c:tx>
          <c:spPr>
            <a:solidFill>
              <a:schemeClr val="accent1"/>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Territory'!$B$4:$B$14</c:f>
              <c:numCache>
                <c:formatCode>"$"#,##0.00</c:formatCode>
                <c:ptCount val="10"/>
                <c:pt idx="0">
                  <c:v>5479819.5800000001</c:v>
                </c:pt>
                <c:pt idx="1">
                  <c:v>7820209.6299999999</c:v>
                </c:pt>
                <c:pt idx="2">
                  <c:v>8119749.3499999996</c:v>
                </c:pt>
                <c:pt idx="3">
                  <c:v>8574048.7100000009</c:v>
                </c:pt>
                <c:pt idx="4">
                  <c:v>8884099.3699999992</c:v>
                </c:pt>
                <c:pt idx="5">
                  <c:v>8913299.25</c:v>
                </c:pt>
                <c:pt idx="6">
                  <c:v>11814376.1</c:v>
                </c:pt>
                <c:pt idx="7">
                  <c:v>18061660.370000001</c:v>
                </c:pt>
                <c:pt idx="8">
                  <c:v>18398929.190000001</c:v>
                </c:pt>
                <c:pt idx="9">
                  <c:v>27150594.59</c:v>
                </c:pt>
              </c:numCache>
            </c:numRef>
          </c:val>
          <c:extLst>
            <c:ext xmlns:c16="http://schemas.microsoft.com/office/drawing/2014/chart" uri="{C3380CC4-5D6E-409C-BE32-E72D297353CC}">
              <c16:uniqueId val="{00000000-9C39-47B4-AEC7-849E62385E54}"/>
            </c:ext>
          </c:extLst>
        </c:ser>
        <c:ser>
          <c:idx val="1"/>
          <c:order val="1"/>
          <c:tx>
            <c:strRef>
              <c:f>'Pivot - Territory'!$C$3</c:f>
              <c:strCache>
                <c:ptCount val="1"/>
                <c:pt idx="0">
                  <c:v>Total Customers</c:v>
                </c:pt>
              </c:strCache>
            </c:strRef>
          </c:tx>
          <c:spPr>
            <a:solidFill>
              <a:schemeClr val="accent2"/>
            </a:solidFill>
            <a:ln>
              <a:noFill/>
            </a:ln>
            <a:effectLst/>
          </c:spPr>
          <c:invertIfNegative val="0"/>
          <c:cat>
            <c:strRef>
              <c:f>'Pivot - Territory'!$A$4:$A$14</c:f>
              <c:strCache>
                <c:ptCount val="10"/>
                <c:pt idx="0">
                  <c:v>Germany</c:v>
                </c:pt>
                <c:pt idx="1">
                  <c:v>Northeast</c:v>
                </c:pt>
                <c:pt idx="2">
                  <c:v>France</c:v>
                </c:pt>
                <c:pt idx="3">
                  <c:v>United Kingdom</c:v>
                </c:pt>
                <c:pt idx="4">
                  <c:v>Southeast</c:v>
                </c:pt>
                <c:pt idx="5">
                  <c:v>Central</c:v>
                </c:pt>
                <c:pt idx="6">
                  <c:v>Australia</c:v>
                </c:pt>
                <c:pt idx="7">
                  <c:v>Northwest</c:v>
                </c:pt>
                <c:pt idx="8">
                  <c:v>Canada</c:v>
                </c:pt>
                <c:pt idx="9">
                  <c:v>Southwest</c:v>
                </c:pt>
              </c:strCache>
            </c:strRef>
          </c:cat>
          <c:val>
            <c:numRef>
              <c:f>'Pivot - Territory'!$C$4:$C$14</c:f>
              <c:numCache>
                <c:formatCode>#,##0</c:formatCode>
                <c:ptCount val="10"/>
                <c:pt idx="0">
                  <c:v>1812</c:v>
                </c:pt>
                <c:pt idx="1">
                  <c:v>57</c:v>
                </c:pt>
                <c:pt idx="2">
                  <c:v>1844</c:v>
                </c:pt>
                <c:pt idx="3">
                  <c:v>1951</c:v>
                </c:pt>
                <c:pt idx="4">
                  <c:v>91</c:v>
                </c:pt>
                <c:pt idx="5">
                  <c:v>69</c:v>
                </c:pt>
                <c:pt idx="6">
                  <c:v>3625</c:v>
                </c:pt>
                <c:pt idx="7">
                  <c:v>3428</c:v>
                </c:pt>
                <c:pt idx="8">
                  <c:v>1677</c:v>
                </c:pt>
                <c:pt idx="9">
                  <c:v>4565</c:v>
                </c:pt>
              </c:numCache>
            </c:numRef>
          </c:val>
          <c:extLst>
            <c:ext xmlns:c16="http://schemas.microsoft.com/office/drawing/2014/chart" uri="{C3380CC4-5D6E-409C-BE32-E72D297353CC}">
              <c16:uniqueId val="{00000001-9C39-47B4-AEC7-849E62385E54}"/>
            </c:ext>
          </c:extLst>
        </c:ser>
        <c:dLbls>
          <c:showLegendKey val="0"/>
          <c:showVal val="0"/>
          <c:showCatName val="0"/>
          <c:showSerName val="0"/>
          <c:showPercent val="0"/>
          <c:showBubbleSize val="0"/>
        </c:dLbls>
        <c:gapWidth val="182"/>
        <c:axId val="840793135"/>
        <c:axId val="840794575"/>
      </c:barChart>
      <c:catAx>
        <c:axId val="84079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4575"/>
        <c:crosses val="autoZero"/>
        <c:auto val="1"/>
        <c:lblAlgn val="ctr"/>
        <c:lblOffset val="100"/>
        <c:noMultiLvlLbl val="0"/>
      </c:catAx>
      <c:valAx>
        <c:axId val="840794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9313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[executive_summary.xlsx]Pivot - Salesperson!PivotTable4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Salesperson Performance by Revenue</a:t>
            </a:r>
            <a:endParaRPr lang="en-US"/>
          </a:p>
        </c:rich>
      </c:tx>
      <c:layout>
        <c:manualLayout>
          <c:xMode val="edge"/>
          <c:yMode val="edge"/>
          <c:x val="0.2394722222222222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06664348463306"/>
          <c:y val="0.17171296296296296"/>
          <c:w val="0.51604752939227094"/>
          <c:h val="0.66438283756197136"/>
        </c:manualLayout>
      </c:layout>
      <c:barChart>
        <c:barDir val="bar"/>
        <c:grouping val="clustered"/>
        <c:varyColors val="0"/>
        <c:ser>
          <c:idx val="0"/>
          <c:order val="0"/>
          <c:tx>
            <c:strRef>
              <c:f>'Pivot - Salesperson'!$B$3</c:f>
              <c:strCache>
                <c:ptCount val="1"/>
                <c:pt idx="0">
                  <c:v>Revenue</c:v>
                </c:pt>
              </c:strCache>
            </c:strRef>
          </c:tx>
          <c:spPr>
            <a:solidFill>
              <a:schemeClr val="accent1"/>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Salesperson'!$B$4:$B$18</c:f>
              <c:numCache>
                <c:formatCode>"$"#,##0.00</c:formatCode>
                <c:ptCount val="14"/>
                <c:pt idx="0">
                  <c:v>11695019.060000001</c:v>
                </c:pt>
                <c:pt idx="1">
                  <c:v>11342385.9</c:v>
                </c:pt>
                <c:pt idx="2">
                  <c:v>10475367.08</c:v>
                </c:pt>
                <c:pt idx="3">
                  <c:v>9585124.9499999993</c:v>
                </c:pt>
                <c:pt idx="4">
                  <c:v>8086073.6799999997</c:v>
                </c:pt>
                <c:pt idx="5">
                  <c:v>7259567.8799999999</c:v>
                </c:pt>
                <c:pt idx="6">
                  <c:v>6683536.6600000001</c:v>
                </c:pt>
                <c:pt idx="7">
                  <c:v>5087977.21</c:v>
                </c:pt>
                <c:pt idx="8">
                  <c:v>4207894.5999999996</c:v>
                </c:pt>
                <c:pt idx="9">
                  <c:v>4069422.21</c:v>
                </c:pt>
                <c:pt idx="10">
                  <c:v>3748246.12</c:v>
                </c:pt>
                <c:pt idx="11">
                  <c:v>2608116.38</c:v>
                </c:pt>
                <c:pt idx="12">
                  <c:v>2062393.14</c:v>
                </c:pt>
                <c:pt idx="13">
                  <c:v>1606441.45</c:v>
                </c:pt>
              </c:numCache>
            </c:numRef>
          </c:val>
          <c:extLst>
            <c:ext xmlns:c16="http://schemas.microsoft.com/office/drawing/2014/chart" uri="{C3380CC4-5D6E-409C-BE32-E72D297353CC}">
              <c16:uniqueId val="{00000000-130E-49ED-851D-0088D8D93380}"/>
            </c:ext>
          </c:extLst>
        </c:ser>
        <c:ser>
          <c:idx val="1"/>
          <c:order val="1"/>
          <c:tx>
            <c:strRef>
              <c:f>'Pivot - Salesperson'!$C$3</c:f>
              <c:strCache>
                <c:ptCount val="1"/>
                <c:pt idx="0">
                  <c:v>Sum of total_orders</c:v>
                </c:pt>
              </c:strCache>
            </c:strRef>
          </c:tx>
          <c:spPr>
            <a:solidFill>
              <a:schemeClr val="accent2"/>
            </a:solidFill>
            <a:ln>
              <a:noFill/>
            </a:ln>
            <a:effectLst/>
          </c:spPr>
          <c:invertIfNegative val="0"/>
          <c:cat>
            <c:strRef>
              <c:f>'Pivot - Salesperson'!$A$4:$A$18</c:f>
              <c:strCache>
                <c:ptCount val="14"/>
                <c:pt idx="0">
                  <c:v>Linda Mitchell</c:v>
                </c:pt>
                <c:pt idx="1">
                  <c:v>Jillian Carson</c:v>
                </c:pt>
                <c:pt idx="2">
                  <c:v>Michael Blythe</c:v>
                </c:pt>
                <c:pt idx="3">
                  <c:v>Jae Pak</c:v>
                </c:pt>
                <c:pt idx="4">
                  <c:v>Tsvi Reiter</c:v>
                </c:pt>
                <c:pt idx="5">
                  <c:v>Shu Ito</c:v>
                </c:pt>
                <c:pt idx="6">
                  <c:v>José Saraiva</c:v>
                </c:pt>
                <c:pt idx="7">
                  <c:v>Ranjit Varkey Chudukatil</c:v>
                </c:pt>
                <c:pt idx="8">
                  <c:v>David Campbell</c:v>
                </c:pt>
                <c:pt idx="9">
                  <c:v>Garrett Vargas</c:v>
                </c:pt>
                <c:pt idx="10">
                  <c:v>Pamela Ansman-Wolfe</c:v>
                </c:pt>
                <c:pt idx="11">
                  <c:v>Tete Mensa-Annan</c:v>
                </c:pt>
                <c:pt idx="12">
                  <c:v>Rachel Valdez</c:v>
                </c:pt>
                <c:pt idx="13">
                  <c:v>Lynn Tsoflias</c:v>
                </c:pt>
              </c:strCache>
            </c:strRef>
          </c:cat>
          <c:val>
            <c:numRef>
              <c:f>'Pivot - Salesperson'!$C$4:$C$18</c:f>
              <c:numCache>
                <c:formatCode>#,##0</c:formatCode>
                <c:ptCount val="14"/>
                <c:pt idx="0">
                  <c:v>418</c:v>
                </c:pt>
                <c:pt idx="1">
                  <c:v>473</c:v>
                </c:pt>
                <c:pt idx="2">
                  <c:v>450</c:v>
                </c:pt>
                <c:pt idx="3">
                  <c:v>348</c:v>
                </c:pt>
                <c:pt idx="4">
                  <c:v>429</c:v>
                </c:pt>
                <c:pt idx="5">
                  <c:v>242</c:v>
                </c:pt>
                <c:pt idx="6">
                  <c:v>271</c:v>
                </c:pt>
                <c:pt idx="7">
                  <c:v>175</c:v>
                </c:pt>
                <c:pt idx="8">
                  <c:v>189</c:v>
                </c:pt>
                <c:pt idx="9">
                  <c:v>234</c:v>
                </c:pt>
                <c:pt idx="10">
                  <c:v>95</c:v>
                </c:pt>
                <c:pt idx="11">
                  <c:v>140</c:v>
                </c:pt>
                <c:pt idx="12">
                  <c:v>130</c:v>
                </c:pt>
                <c:pt idx="13">
                  <c:v>109</c:v>
                </c:pt>
              </c:numCache>
            </c:numRef>
          </c:val>
          <c:extLst>
            <c:ext xmlns:c16="http://schemas.microsoft.com/office/drawing/2014/chart" uri="{C3380CC4-5D6E-409C-BE32-E72D297353CC}">
              <c16:uniqueId val="{00000001-130E-49ED-851D-0088D8D93380}"/>
            </c:ext>
          </c:extLst>
        </c:ser>
        <c:dLbls>
          <c:showLegendKey val="0"/>
          <c:showVal val="0"/>
          <c:showCatName val="0"/>
          <c:showSerName val="0"/>
          <c:showPercent val="0"/>
          <c:showBubbleSize val="0"/>
        </c:dLbls>
        <c:gapWidth val="182"/>
        <c:axId val="459490383"/>
        <c:axId val="459503823"/>
      </c:barChart>
      <c:catAx>
        <c:axId val="45949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03823"/>
        <c:crosses val="autoZero"/>
        <c:auto val="1"/>
        <c:lblAlgn val="ctr"/>
        <c:lblOffset val="100"/>
        <c:noMultiLvlLbl val="0"/>
      </c:catAx>
      <c:valAx>
        <c:axId val="4595038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9038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[executive_summary.xlsx]YoY Comparison!PivotTable5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Year over Year Revenue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'YoY Comparison'!$B$3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'YoY Comparison'!$A$4:$A$7</c:f>
              <c:strCache>
                <c:ptCount val="3"/>
                <c:pt idx="0">
                  <c:v>2022</c:v>
                </c:pt>
                <c:pt idx="1">
                  <c:v>2023</c:v>
                </c:pt>
                <c:pt idx="2">
                  <c:v>2024</c:v>
                </c:pt>
              </c:strCache>
            </c:strRef>
          </c:cat>
          <c:val>
            <c:numRef>
              <c:f>'YoY Comparison'!$B$4:$B$7</c:f>
              <c:numCache>
                <c:formatCode>"$"#,##0.00</c:formatCode>
                <c:ptCount val="3"/>
                <c:pt idx="0">
                  <c:v>16316694.17</c:v>
                </c:pt>
                <c:pt idx="1">
                  <c:v>35514705.670000002</c:v>
                </c:pt>
                <c:pt idx="2">
                  <c:v>49020486.509999998</c:v>
                </c:pt>
              </c:numCache>
            </c:numRef>
          </c:val>
          <c:extLst>
            <c:ext xmlns:c16="http://schemas.microsoft.com/office/drawing/2014/chart" uri="{C3380CC4-5D6E-409C-BE32-E72D297353CC}">
              <c16:uniqueId val="{00000000-5541-4814-8532-EE83E7649187}"/>
            </c:ext>
          </c:extLst>
        </c:ser>
        <c:ser>
          <c:idx val="1"/>
          <c:order val="1"/>
          <c:tx>
            <c:strRef>
              <c:f>'YoY Comparison'!$C$3</c:f>
              <c:strCache>
                <c:ptCount val="1"/>
                <c:pt idx="0">
                  <c:v>Sum of total_orders</c:v>
                </c:pt>
              </c:strCache>
            </c:strRef>
          </c:tx>
          <c:spPr>
            <a:solidFill>
              <a:schemeClr val="accent2"/>
            </a:solidFill>
            <a:ln>
              <a:noFill/>
            </a:ln>
            <a:effectLst/>
          </c:spPr>
          <c:invertIfNegative val="0"/>
          <c:cat>
            <c:strRef>
              <c:f>'YoY Comparison'!$A$4:$A$7</c:f>
              <c:strCache>
                <c:ptCount val="3"/>
                <c:pt idx="0">
                  <c:v>2022</c:v>
                </c:pt>
                <c:pt idx="1">
                  <c:v>2023</c:v>
                </c:pt>
                <c:pt idx="2">
                  <c:v>2024</c:v>
                </c:pt>
              </c:strCache>
            </c:strRef>
          </c:cat>
          <c:val>
            <c:numRef>
              <c:f>'YoY Comparison'!$C$4:$C$7</c:f>
              <c:numCache>
                <c:formatCode>#,##0</c:formatCode>
                <c:ptCount val="3"/>
                <c:pt idx="0">
                  <c:v>1692</c:v>
                </c:pt>
                <c:pt idx="1">
                  <c:v>3830</c:v>
                </c:pt>
                <c:pt idx="2">
                  <c:v>14244</c:v>
                </c:pt>
              </c:numCache>
            </c:numRef>
          </c:val>
          <c:extLst>
            <c:ext xmlns:c16="http://schemas.microsoft.com/office/drawing/2014/chart" uri="{C3380CC4-5D6E-409C-BE32-E72D297353CC}">
              <c16:uniqueId val="{00000001-5541-4814-8532-EE83E7649187}"/>
            </c:ext>
          </c:extLst>
        </c:ser>
        <c:ser>
          <c:idx val="2"/>
          <c:order val="2"/>
          <c:tx>
            <c:strRef>
              <c:f>'YoY Comparison'!$D$3</c:f>
              <c:strCache>
                <c:ptCount val="1"/>
                <c:pt idx="0">
                  <c:v>Sum of yoy_growth_pct</c:v>
                </c:pt>
              </c:strCache>
            </c:strRef>
          </c:tx>
          <c:spPr>
            <a:solidFill>
              <a:schemeClr val="accent3"/>
            </a:solidFill>
            <a:ln>
              <a:noFill/>
            </a:ln>
            <a:effectLst/>
          </c:spPr>
          <c:invertIfNegative val="0"/>
          <c:cat>
            <c:strRef>
              <c:f>'YoY Comparison'!$A$4:$A$7</c:f>
              <c:strCache>
                <c:ptCount val="3"/>
                <c:pt idx="0">
                  <c:v>2022</c:v>
                </c:pt>
                <c:pt idx="1">
                  <c:v>2023</c:v>
                </c:pt>
                <c:pt idx="2">
                  <c:v>2024</c:v>
                </c:pt>
              </c:strCache>
            </c:strRef>
          </c:cat>
          <c:val>
            <c:numRef>
              <c:f>'YoY Comparison'!$D$4:$D$7</c:f>
              <c:numCache>
                <c:formatCode>General</c:formatCode>
                <c:ptCount val="3"/>
                <c:pt idx="1">
                  <c:v>117.66</c:v>
                </c:pt>
                <c:pt idx="2">
                  <c:v>38.03</c:v>
                </c:pt>
              </c:numCache>
            </c:numRef>
          </c:val>
          <c:extLst>
            <c:ext xmlns:c16="http://schemas.microsoft.com/office/drawing/2014/chart" uri="{C3380CC4-5D6E-409C-BE32-E72D297353CC}">
              <c16:uniqueId val="{00000002-5541-4814-8532-EE83E7649187}"/>
            </c:ext>
          </c:extLst>
        </c:ser>
        <c:dLbls>
          <c:showLegendKey val="0"/>
          <c:showVal val="0"/>
          <c:showCatName val="0"/>
          <c:showSerName val="0"/>
          <c:showPercent val="0"/>
          <c:showBubbleSize val="0"/>
        </c:dLbls>
        <c:gapWidth val="219"/>
        <c:overlap val="-27"/>
        <c:axId val="1009251359"/>
        <c:axId val="1009252319"/>
      </c:barChart>
      <c:catAx>
        <c:axId val="10092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252319"/>
        <c:crosses val="autoZero"/>
        <c:auto val="1"/>
        <c:lblAlgn val="ctr"/>
        <c:lblOffset val="100"/>
        <c:noMultiLvlLbl val="0"/>
      </c:catAx>
      <c:valAx>
        <c:axId val="1009252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2513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643466</xdr:colOff>
      <xdr:row>8</xdr:row>
      <xdr:rowOff>182032</xdr:rowOff>
    </xdr:from>
    <xdr:to>
      <xdr:col>5</xdr:col>
      <xdr:colOff>499533</xdr:colOff>
      <xdr:row>28</xdr:row>
      <xdr:rowOff>97366</xdr:rowOff>
    </xdr:to>
    <xdr:graphicFrame macro="">
      <xdr:nvGraphicFramePr>
        <xdr:cNvPr id="2" name="Chart 1">
          <a:extLst>
            <a:ext uri="{FF2B5EF4-FFF2-40B4-BE49-F238E27FC236}">
              <a16:creationId xmlns:a16="http://schemas.microsoft.com/office/drawing/2014/main" id="{77D6243C-42ED-4DA6-AB7E-46048BA84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13</xdr:col>
      <xdr:colOff>59267</xdr:colOff>
      <xdr:row>28</xdr:row>
      <xdr:rowOff>105833</xdr:rowOff>
    </xdr:to>
    <xdr:graphicFrame macro="">
      <xdr:nvGraphicFramePr>
        <xdr:cNvPr id="3" name="Chart 2">
          <a:extLst>
            <a:ext uri="{FF2B5EF4-FFF2-40B4-BE49-F238E27FC236}">
              <a16:creationId xmlns:a16="http://schemas.microsoft.com/office/drawing/2014/main" id="{31CD860F-998B-47AE-8ACB-88501AE1E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182032</xdr:rowOff>
    </xdr:from>
    <xdr:to>
      <xdr:col>5</xdr:col>
      <xdr:colOff>512233</xdr:colOff>
      <xdr:row>47</xdr:row>
      <xdr:rowOff>25399</xdr:rowOff>
    </xdr:to>
    <xdr:graphicFrame macro="">
      <xdr:nvGraphicFramePr>
        <xdr:cNvPr id="4" name="Revenue by Territory">
          <a:extLst>
            <a:ext uri="{FF2B5EF4-FFF2-40B4-BE49-F238E27FC236}">
              <a16:creationId xmlns:a16="http://schemas.microsoft.com/office/drawing/2014/main" id="{F01230CB-8BB9-4BCA-B405-EE74CA921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30</xdr:row>
      <xdr:rowOff>0</xdr:rowOff>
    </xdr:from>
    <xdr:to>
      <xdr:col>13</xdr:col>
      <xdr:colOff>101601</xdr:colOff>
      <xdr:row>47</xdr:row>
      <xdr:rowOff>59267</xdr:rowOff>
    </xdr:to>
    <xdr:graphicFrame macro="">
      <xdr:nvGraphicFramePr>
        <xdr:cNvPr id="5" name="Chart 4">
          <a:extLst>
            <a:ext uri="{FF2B5EF4-FFF2-40B4-BE49-F238E27FC236}">
              <a16:creationId xmlns:a16="http://schemas.microsoft.com/office/drawing/2014/main" id="{A9B5CAB7-80F4-4344-89A3-84F30945B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609600</xdr:colOff>
      <xdr:row>49</xdr:row>
      <xdr:rowOff>0</xdr:rowOff>
    </xdr:from>
    <xdr:to>
      <xdr:col>13</xdr:col>
      <xdr:colOff>101600</xdr:colOff>
      <xdr:row>55</xdr:row>
      <xdr:rowOff>101600</xdr:rowOff>
    </xdr:to>
    <xdr:sp macro="" textlink="">
      <xdr:nvSpPr>
        <xdr:cNvPr id="6" name="TextBox 5">
          <a:extLst>
            <a:ext uri="{FF2B5EF4-FFF2-40B4-BE49-F238E27FC236}">
              <a16:creationId xmlns:a16="http://schemas.microsoft.com/office/drawing/2014/main" id="{86F6078E-3E1B-1958-E65E-E63F7FB0C735}"/>
            </a:ext>
          </a:extLst>
        </xdr:cNvPr>
        <xdr:cNvSpPr txBox="1"/>
      </xdr:nvSpPr>
      <xdr:spPr>
        <a:xfrm>
          <a:off x="609600" y="9177867"/>
          <a:ext cx="9770533" cy="11938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solidFill>
                <a:schemeClr val="bg1"/>
              </a:solidFill>
            </a:rPr>
            <a:t>KEY INSIGHTS:</a:t>
          </a:r>
        </a:p>
        <a:p>
          <a:r>
            <a:rPr lang="en-US" sz="1000">
              <a:solidFill>
                <a:schemeClr val="bg1"/>
              </a:solidFill>
            </a:rPr>
            <a:t> </a:t>
          </a:r>
          <a:r>
            <a:rPr lang="en-US" sz="1000" b="1">
              <a:solidFill>
                <a:schemeClr val="bg1"/>
              </a:solidFill>
            </a:rPr>
            <a:t>1</a:t>
          </a:r>
          <a:r>
            <a:rPr lang="en-US" sz="1000">
              <a:solidFill>
                <a:schemeClr val="bg1"/>
              </a:solidFill>
            </a:rPr>
            <a:t>. Revenue grew 200% over 3 years, from $16M in 2022 to $49M in 2024.</a:t>
          </a:r>
        </a:p>
        <a:p>
          <a:r>
            <a:rPr lang="en-US" sz="1000">
              <a:solidFill>
                <a:schemeClr val="bg1"/>
              </a:solidFill>
            </a:rPr>
            <a:t> </a:t>
          </a:r>
          <a:r>
            <a:rPr lang="en-US" sz="1000" b="1">
              <a:solidFill>
                <a:schemeClr val="bg1"/>
              </a:solidFill>
            </a:rPr>
            <a:t>2</a:t>
          </a:r>
          <a:r>
            <a:rPr lang="en-US" sz="1000">
              <a:solidFill>
                <a:schemeClr val="bg1"/>
              </a:solidFill>
            </a:rPr>
            <a:t>. Bikes account for 77% of all revenue. Road Bikes alone bring in 36%.</a:t>
          </a:r>
        </a:p>
        <a:p>
          <a:r>
            <a:rPr lang="en-US" sz="1000">
              <a:solidFill>
                <a:schemeClr val="bg1"/>
              </a:solidFill>
            </a:rPr>
            <a:t> </a:t>
          </a:r>
          <a:r>
            <a:rPr lang="en-US" sz="1000" b="1">
              <a:solidFill>
                <a:schemeClr val="bg1"/>
              </a:solidFill>
            </a:rPr>
            <a:t>3</a:t>
          </a:r>
          <a:r>
            <a:rPr lang="en-US" sz="1000">
              <a:solidFill>
                <a:schemeClr val="bg1"/>
              </a:solidFill>
            </a:rPr>
            <a:t>. Southwest is the top territory at $27M. North America makes up 72% of total sales.</a:t>
          </a:r>
        </a:p>
        <a:p>
          <a:r>
            <a:rPr lang="en-US" sz="1000">
              <a:solidFill>
                <a:schemeClr val="bg1"/>
              </a:solidFill>
            </a:rPr>
            <a:t> </a:t>
          </a:r>
          <a:r>
            <a:rPr lang="en-US" sz="1000" b="1">
              <a:solidFill>
                <a:schemeClr val="bg1"/>
              </a:solidFill>
            </a:rPr>
            <a:t>4</a:t>
          </a:r>
          <a:r>
            <a:rPr lang="en-US" sz="1000">
              <a:solidFill>
                <a:schemeClr val="bg1"/>
              </a:solidFill>
            </a:rPr>
            <a:t>. Starting July 2024, order volume more than doubled (741 to 1,755 orders) but average order value fell from $7,702 to $3,160, suggesting a shift toward retail customers.</a:t>
          </a:r>
        </a:p>
        <a:p>
          <a:r>
            <a:rPr lang="en-US" sz="1000">
              <a:solidFill>
                <a:schemeClr val="bg1"/>
              </a:solidFill>
            </a:rPr>
            <a:t> </a:t>
          </a:r>
          <a:r>
            <a:rPr lang="en-US" sz="1000" b="1">
              <a:solidFill>
                <a:schemeClr val="bg1"/>
              </a:solidFill>
            </a:rPr>
            <a:t>5</a:t>
          </a:r>
          <a:r>
            <a:rPr lang="en-US" sz="1000">
              <a:solidFill>
                <a:schemeClr val="bg1"/>
              </a:solidFill>
            </a:rPr>
            <a:t>. Linda Mitchell leads the sales team at $11.6M. Pamela Ansman-Wolfe averages the highest order value at $39K per order.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52915</xdr:colOff>
      <xdr:row>8</xdr:row>
      <xdr:rowOff>38100</xdr:rowOff>
    </xdr:from>
    <xdr:to>
      <xdr:col>4</xdr:col>
      <xdr:colOff>345015</xdr:colOff>
      <xdr:row>23</xdr:row>
      <xdr:rowOff>50800</xdr:rowOff>
    </xdr:to>
    <xdr:graphicFrame macro="">
      <xdr:nvGraphicFramePr>
        <xdr:cNvPr id="3" name="Chart 2">
          <a:extLst>
            <a:ext uri="{FF2B5EF4-FFF2-40B4-BE49-F238E27FC236}">
              <a16:creationId xmlns:a16="http://schemas.microsoft.com/office/drawing/2014/main" id="{12D0379F-5EA7-B625-7547-27212E099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571500</xdr:colOff>
      <xdr:row>8</xdr:row>
      <xdr:rowOff>50800</xdr:rowOff>
    </xdr:from>
    <xdr:to>
      <xdr:col>7</xdr:col>
      <xdr:colOff>469900</xdr:colOff>
      <xdr:row>21</xdr:row>
      <xdr:rowOff>176731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141DCEC9-02C4-DA4F-1479-D1346E0C28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41700" y="1507067"/>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6349</xdr:colOff>
      <xdr:row>8</xdr:row>
      <xdr:rowOff>105833</xdr:rowOff>
    </xdr:from>
    <xdr:to>
      <xdr:col>7</xdr:col>
      <xdr:colOff>579966</xdr:colOff>
      <xdr:row>24</xdr:row>
      <xdr:rowOff>12699</xdr:rowOff>
    </xdr:to>
    <xdr:graphicFrame macro="">
      <xdr:nvGraphicFramePr>
        <xdr:cNvPr id="2" name="Chart 1">
          <a:extLst>
            <a:ext uri="{FF2B5EF4-FFF2-40B4-BE49-F238E27FC236}">
              <a16:creationId xmlns:a16="http://schemas.microsoft.com/office/drawing/2014/main" id="{AB610A13-BD70-222F-E7B9-6DCE2638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110066</xdr:colOff>
      <xdr:row>9</xdr:row>
      <xdr:rowOff>12699</xdr:rowOff>
    </xdr:from>
    <xdr:to>
      <xdr:col>11</xdr:col>
      <xdr:colOff>8466</xdr:colOff>
      <xdr:row>22</xdr:row>
      <xdr:rowOff>138630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CE7AF15-18D0-B296-BC8A-583853A2B1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83766" y="1650999"/>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150282</xdr:colOff>
      <xdr:row>14</xdr:row>
      <xdr:rowOff>55033</xdr:rowOff>
    </xdr:from>
    <xdr:to>
      <xdr:col>5</xdr:col>
      <xdr:colOff>618066</xdr:colOff>
      <xdr:row>29</xdr:row>
      <xdr:rowOff>67733</xdr:rowOff>
    </xdr:to>
    <xdr:graphicFrame macro="">
      <xdr:nvGraphicFramePr>
        <xdr:cNvPr id="2" name="Revenue by Territory">
          <a:extLst>
            <a:ext uri="{FF2B5EF4-FFF2-40B4-BE49-F238E27FC236}">
              <a16:creationId xmlns:a16="http://schemas.microsoft.com/office/drawing/2014/main" id="{D6C93A92-3A5F-5C7A-D72A-8EA58C669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410632</xdr:colOff>
      <xdr:row>14</xdr:row>
      <xdr:rowOff>29633</xdr:rowOff>
    </xdr:from>
    <xdr:to>
      <xdr:col>9</xdr:col>
      <xdr:colOff>309032</xdr:colOff>
      <xdr:row>27</xdr:row>
      <xdr:rowOff>155564</xdr:rowOff>
    </xdr:to>
    <mc:AlternateContent xmlns:mc="http://schemas.openxmlformats.org/markup-compatibility/2006" xmlns:a14="http://schemas.microsoft.com/office/drawing/2010/main">
      <mc:Choice Requires="a14">
        <xdr:graphicFrame macro="">
          <xdr:nvGraphicFramePr>
            <xdr:cNvPr id="3" name="territory">
              <a:extLst>
                <a:ext uri="{FF2B5EF4-FFF2-40B4-BE49-F238E27FC236}">
                  <a16:creationId xmlns:a16="http://schemas.microsoft.com/office/drawing/2014/main" id="{FDA2500A-9063-3F75-9D6F-F734BA85D84B}"/>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5346699" y="2578100"/>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91016</xdr:colOff>
      <xdr:row>18</xdr:row>
      <xdr:rowOff>169332</xdr:rowOff>
    </xdr:from>
    <xdr:to>
      <xdr:col>7</xdr:col>
      <xdr:colOff>372533</xdr:colOff>
      <xdr:row>41</xdr:row>
      <xdr:rowOff>127001</xdr:rowOff>
    </xdr:to>
    <xdr:graphicFrame macro="">
      <xdr:nvGraphicFramePr>
        <xdr:cNvPr id="2" name="Chart 1">
          <a:extLst>
            <a:ext uri="{FF2B5EF4-FFF2-40B4-BE49-F238E27FC236}">
              <a16:creationId xmlns:a16="http://schemas.microsoft.com/office/drawing/2014/main" id="{622DAB97-1DB2-A02B-B1BF-F94C5708E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793749</xdr:colOff>
      <xdr:row>7</xdr:row>
      <xdr:rowOff>139700</xdr:rowOff>
    </xdr:from>
    <xdr:to>
      <xdr:col>4</xdr:col>
      <xdr:colOff>501649</xdr:colOff>
      <xdr:row>22</xdr:row>
      <xdr:rowOff>152400</xdr:rowOff>
    </xdr:to>
    <xdr:graphicFrame macro="">
      <xdr:nvGraphicFramePr>
        <xdr:cNvPr id="2" name="Chart 1">
          <a:extLst>
            <a:ext uri="{FF2B5EF4-FFF2-40B4-BE49-F238E27FC236}">
              <a16:creationId xmlns:a16="http://schemas.microsoft.com/office/drawing/2014/main" id="{0949799A-ACD3-09C4-982C-07DD66E8D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0.41528</cdr:x>
      <cdr:y>0.30093</cdr:y>
    </cdr:from>
    <cdr:to>
      <cdr:x>0.59861</cdr:x>
      <cdr:y>0.39043</cdr:y>
    </cdr:to>
    <cdr:sp macro="" textlink="">
      <cdr:nvSpPr>
        <cdr:cNvPr id="2" name="TextBox 1">
          <a:extLst xmlns:a="http://schemas.openxmlformats.org/drawingml/2006/main">
            <a:ext uri="{FF2B5EF4-FFF2-40B4-BE49-F238E27FC236}">
              <a16:creationId xmlns:a16="http://schemas.microsoft.com/office/drawing/2014/main" id="{F376C2FE-2A94-8129-C039-FDBF46D3E56C}"/>
            </a:ext>
          </a:extLst>
        </cdr:cNvPr>
        <cdr:cNvSpPr txBox="1"/>
      </cdr:nvSpPr>
      <cdr:spPr>
        <a:xfrm xmlns:a="http://schemas.openxmlformats.org/drawingml/2006/main">
          <a:off x="1898651" y="825500"/>
          <a:ext cx="838199" cy="2455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00B050"/>
              </a:solidFill>
            </a:rPr>
            <a:t>+117% YoY</a:t>
          </a:r>
        </a:p>
      </cdr:txBody>
    </cdr:sp>
  </cdr:relSizeAnchor>
  <cdr:relSizeAnchor xmlns:cdr="http://schemas.openxmlformats.org/drawingml/2006/chartDrawing">
    <cdr:from>
      <cdr:x>0.71435</cdr:x>
      <cdr:y>0.14506</cdr:y>
    </cdr:from>
    <cdr:to>
      <cdr:x>0.84676</cdr:x>
      <cdr:y>0.22068</cdr:y>
    </cdr:to>
    <cdr:sp macro="" textlink="">
      <cdr:nvSpPr>
        <cdr:cNvPr id="3" name="TextBox 2">
          <a:extLst xmlns:a="http://schemas.openxmlformats.org/drawingml/2006/main">
            <a:ext uri="{FF2B5EF4-FFF2-40B4-BE49-F238E27FC236}">
              <a16:creationId xmlns:a16="http://schemas.microsoft.com/office/drawing/2014/main" id="{625A4C7E-7D33-72B6-31A6-7560679D5060}"/>
            </a:ext>
          </a:extLst>
        </cdr:cNvPr>
        <cdr:cNvSpPr txBox="1"/>
      </cdr:nvSpPr>
      <cdr:spPr>
        <a:xfrm xmlns:a="http://schemas.openxmlformats.org/drawingml/2006/main">
          <a:off x="3266018" y="397934"/>
          <a:ext cx="605366" cy="2074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0.69954</cdr:x>
      <cdr:y>0.15895</cdr:y>
    </cdr:from>
    <cdr:to>
      <cdr:x>0.86343</cdr:x>
      <cdr:y>0.24691</cdr:y>
    </cdr:to>
    <cdr:sp macro="" textlink="">
      <cdr:nvSpPr>
        <cdr:cNvPr id="4" name="TextBox 3">
          <a:extLst xmlns:a="http://schemas.openxmlformats.org/drawingml/2006/main">
            <a:ext uri="{FF2B5EF4-FFF2-40B4-BE49-F238E27FC236}">
              <a16:creationId xmlns:a16="http://schemas.microsoft.com/office/drawing/2014/main" id="{9979E090-E080-15F3-0C2A-B53C9B19189C}"/>
            </a:ext>
          </a:extLst>
        </cdr:cNvPr>
        <cdr:cNvSpPr txBox="1"/>
      </cdr:nvSpPr>
      <cdr:spPr>
        <a:xfrm xmlns:a="http://schemas.openxmlformats.org/drawingml/2006/main">
          <a:off x="3198285" y="436034"/>
          <a:ext cx="749300" cy="241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00B050"/>
              </a:solidFill>
            </a:rPr>
            <a:t>+38%</a:t>
          </a:r>
          <a:r>
            <a:rPr lang="en-US" sz="1100" kern="1200" baseline="0">
              <a:solidFill>
                <a:srgbClr val="00B050"/>
              </a:solidFill>
            </a:rPr>
            <a:t> YoY</a:t>
          </a:r>
          <a:endParaRPr lang="en-US" sz="1100" kern="1200">
            <a:solidFill>
              <a:srgbClr val="00B05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6.704783333334" createdVersion="8" refreshedVersion="8" minRefreshableVersion="3" recordCount="38" xr:uid="{446BEF97-E5EE-4A40-B8B9-D84B84E4B524}">
  <cacheSource type="worksheet">
    <worksheetSource ref="A1:F39" sheet="Monthly Revenue"/>
  </cacheSource>
  <cacheFields count="6">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acheField>
    <cacheField name="year_month" numFmtId="0">
      <sharedItems/>
    </cacheField>
    <cacheField name="total_orders" numFmtId="0">
      <sharedItems containsSemiMixedTypes="0" containsString="0" containsNumber="1" containsInteger="1" minValue="47" maxValue="2304"/>
    </cacheField>
    <cacheField name="monthly_revenue" numFmtId="0">
      <sharedItems containsSemiMixedTypes="0" containsString="0" containsNumber="1" minValue="52478.19" maxValue="5847164.6900000004"/>
    </cacheField>
    <cacheField name="avg_order_value" numFmtId="0">
      <sharedItems containsSemiMixedTypes="0" containsString="0" containsNumber="1" minValue="57.99" maxValue="12734.86"/>
    </cacheField>
  </cacheFields>
  <extLst>
    <ext xmlns:x14="http://schemas.microsoft.com/office/spreadsheetml/2009/9/main" uri="{725AE2AE-9491-48be-B2B4-4EB974FC3084}">
      <x14:pivotCacheDefinition pivotCacheId="312810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6.721578703706" createdVersion="8" refreshedVersion="8" minRefreshableVersion="3" recordCount="35" xr:uid="{13043DC6-BE07-4BE6-BF08-8D6D14229684}">
  <cacheSource type="worksheet">
    <worksheetSource ref="A1:F36" sheet="Category Revenue"/>
  </cacheSource>
  <cacheFields count="6">
    <cacheField name="category" numFmtId="0">
      <sharedItems count="4">
        <s v="Bikes"/>
        <s v="Components"/>
        <s v="Clothing"/>
        <s v="Accessories"/>
      </sharedItems>
    </cacheField>
    <cacheField name="subcategory" numFmtId="0">
      <sharedItems count="35">
        <s v="Road Bikes"/>
        <s v="Mountain Bikes"/>
        <s v="Touring Bikes"/>
        <s v="Mountain Frames"/>
        <s v="Road Frames"/>
        <s v="Touring Frames"/>
        <s v="Jerseys"/>
        <s v="Wheels"/>
        <s v="Helmets"/>
        <s v="Shorts"/>
        <s v="Vests"/>
        <s v="Tires and Tubes"/>
        <s v="Gloves"/>
        <s v="Bike Racks"/>
        <s v="Cranksets"/>
        <s v="Tights"/>
        <s v="Handlebars"/>
        <s v="Bib-Shorts"/>
        <s v="Pedals"/>
        <s v="Hydration Packs"/>
        <s v="Forks"/>
        <s v="Derailleurs"/>
        <s v="Brakes"/>
        <s v="Bottles and Cages"/>
        <s v="Headsets"/>
        <s v="Saddles"/>
        <s v="Bottom Brackets"/>
        <s v="Caps"/>
        <s v="Fenders"/>
        <s v="Bike Stands"/>
        <s v="Socks"/>
        <s v="Cleaners"/>
        <s v="Locks"/>
        <s v="Pumps"/>
        <s v="Chains"/>
      </sharedItems>
    </cacheField>
    <cacheField name="total_orders" numFmtId="0">
      <sharedItems containsSemiMixedTypes="0" containsString="0" containsNumber="1" containsInteger="1" minValue="133" maxValue="10030"/>
    </cacheField>
    <cacheField name="total_units_sold" numFmtId="0">
      <sharedItems containsSemiMixedTypes="0" containsString="0" containsNumber="1" containsInteger="1" minValue="249" maxValue="47196"/>
    </cacheField>
    <cacheField name="total_revenue" numFmtId="0">
      <sharedItems containsSemiMixedTypes="0" containsString="0" containsNumber="1" minValue="9377.7099999999991" maxValue="43909437.509999998"/>
    </cacheField>
    <cacheField name="avg_unit_price" numFmtId="0">
      <sharedItems containsSemiMixedTypes="0" containsString="0" containsNumber="1" minValue="6.85" maxValue="1451.21"/>
    </cacheField>
  </cacheFields>
  <extLst>
    <ext xmlns:x14="http://schemas.microsoft.com/office/spreadsheetml/2009/9/main" uri="{725AE2AE-9491-48be-B2B4-4EB974FC3084}">
      <x14:pivotCacheDefinition pivotCacheId="430874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6.733967939814" createdVersion="8" refreshedVersion="8" minRefreshableVersion="3" recordCount="10" xr:uid="{78EB9EC8-5C46-4B4B-B043-BCD52C90066F}">
  <cacheSource type="worksheet">
    <worksheetSource ref="A1:G11" sheet="Territory Revenue"/>
  </cacheSource>
  <cacheFields count="7">
    <cacheField name="territory" numFmtId="0">
      <sharedItems count="10">
        <s v="Southwest"/>
        <s v="Canada"/>
        <s v="Northwest"/>
        <s v="Australia"/>
        <s v="Central"/>
        <s v="Southeast"/>
        <s v="United Kingdom"/>
        <s v="France"/>
        <s v="Northeast"/>
        <s v="Germany"/>
      </sharedItems>
    </cacheField>
    <cacheField name="country" numFmtId="0">
      <sharedItems/>
    </cacheField>
    <cacheField name="region" numFmtId="0">
      <sharedItems/>
    </cacheField>
    <cacheField name="total_orders" numFmtId="0">
      <sharedItems containsSemiMixedTypes="0" containsString="0" containsNumber="1" containsInteger="1" minValue="352" maxValue="6843"/>
    </cacheField>
    <cacheField name="total_customers" numFmtId="0">
      <sharedItems containsSemiMixedTypes="0" containsString="0" containsNumber="1" containsInteger="1" minValue="57" maxValue="4565"/>
    </cacheField>
    <cacheField name="total_revenue" numFmtId="0">
      <sharedItems containsSemiMixedTypes="0" containsString="0" containsNumber="1" minValue="5479819.5800000001" maxValue="27150594.59"/>
    </cacheField>
    <cacheField name="avg_order_value" numFmtId="0">
      <sharedItems containsSemiMixedTypes="0" containsString="0" containsNumber="1" minValue="1726.49" maxValue="23151.43"/>
    </cacheField>
  </cacheFields>
  <extLst>
    <ext xmlns:x14="http://schemas.microsoft.com/office/spreadsheetml/2009/9/main" uri="{725AE2AE-9491-48be-B2B4-4EB974FC3084}">
      <x14:pivotCacheDefinition pivotCacheId="29706328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7.724076388891" createdVersion="8" refreshedVersion="8" minRefreshableVersion="3" recordCount="14" xr:uid="{BA642973-CBB3-4D9F-AC30-3758AD9FCB8E}">
  <cacheSource type="worksheet">
    <worksheetSource ref="A1:E15" sheet="Salesperson"/>
  </cacheSource>
  <cacheFields count="5">
    <cacheField name="salesperson_name" numFmtId="0">
      <sharedItems count="14">
        <s v="Linda Mitchell"/>
        <s v="Jillian Carson"/>
        <s v="Michael Blythe"/>
        <s v="Jae Pak"/>
        <s v="Tsvi Reiter"/>
        <s v="Shu Ito"/>
        <s v="José Saraiva"/>
        <s v="Ranjit Varkey Chudukatil"/>
        <s v="David Campbell"/>
        <s v="Garrett Vargas"/>
        <s v="Pamela Ansman-Wolfe"/>
        <s v="Tete Mensa-Annan"/>
        <s v="Rachel Valdez"/>
        <s v="Lynn Tsoflias"/>
      </sharedItems>
    </cacheField>
    <cacheField name="territory" numFmtId="0">
      <sharedItems/>
    </cacheField>
    <cacheField name="total_orders" numFmtId="0">
      <sharedItems containsSemiMixedTypes="0" containsString="0" containsNumber="1" containsInteger="1" minValue="95" maxValue="473"/>
    </cacheField>
    <cacheField name="total_revenue" numFmtId="0">
      <sharedItems containsSemiMixedTypes="0" containsString="0" containsNumber="1" minValue="1606441.45" maxValue="11695019.060000001"/>
    </cacheField>
    <cacheField name="avg_order_value" numFmtId="0">
      <sharedItems containsSemiMixedTypes="0" containsString="0" containsNumber="1" minValue="14737.99" maxValue="39455.2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naw" refreshedDate="46207.730218171295" createdVersion="8" refreshedVersion="8" minRefreshableVersion="3" recordCount="3" xr:uid="{6B8D5AD8-1E57-4922-B922-6F29E1060522}">
  <cacheSource type="worksheet">
    <worksheetSource ref="A1:E4" sheet="YoY Growth"/>
  </cacheSource>
  <cacheFields count="5">
    <cacheField name="year" numFmtId="0">
      <sharedItems containsSemiMixedTypes="0" containsString="0" containsNumber="1" containsInteger="1" minValue="2022" maxValue="2024" count="3">
        <n v="2022"/>
        <n v="2023"/>
        <n v="2024"/>
      </sharedItems>
    </cacheField>
    <cacheField name="total_orders" numFmtId="0">
      <sharedItems containsSemiMixedTypes="0" containsString="0" containsNumber="1" containsInteger="1" minValue="1692" maxValue="14244"/>
    </cacheField>
    <cacheField name="total_revenue" numFmtId="0">
      <sharedItems containsSemiMixedTypes="0" containsString="0" containsNumber="1" minValue="16316694.17" maxValue="49020486.509999998"/>
    </cacheField>
    <cacheField name="prev_year_revenue" numFmtId="0">
      <sharedItems containsString="0" containsBlank="1" containsNumber="1" minValue="16316694.17" maxValue="35514705.670000002"/>
    </cacheField>
    <cacheField name="yoy_growth_pct" numFmtId="0">
      <sharedItems containsString="0" containsBlank="1" containsNumber="1" minValue="38.03" maxValue="117.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n v="5"/>
    <s v="2022-05"/>
    <n v="47"/>
    <n v="582415.28"/>
    <n v="12391.81"/>
  </r>
  <r>
    <x v="0"/>
    <n v="6"/>
    <s v="2022-06"/>
    <n v="217"/>
    <n v="2244313.14"/>
    <n v="10342.459999999999"/>
  </r>
  <r>
    <x v="0"/>
    <n v="7"/>
    <s v="2022-07"/>
    <n v="215"/>
    <n v="1868508.36"/>
    <n v="8690.74"/>
  </r>
  <r>
    <x v="0"/>
    <n v="8"/>
    <s v="2022-08"/>
    <n v="189"/>
    <n v="1483277.04"/>
    <n v="7848.03"/>
  </r>
  <r>
    <x v="0"/>
    <n v="9"/>
    <s v="2022-09"/>
    <n v="250"/>
    <n v="3183714.32"/>
    <n v="12734.86"/>
  </r>
  <r>
    <x v="0"/>
    <n v="10"/>
    <s v="2022-10"/>
    <n v="239"/>
    <n v="2543935.27"/>
    <n v="10644.08"/>
  </r>
  <r>
    <x v="0"/>
    <n v="11"/>
    <s v="2022-11"/>
    <n v="267"/>
    <n v="1603313.51"/>
    <n v="6004.92"/>
  </r>
  <r>
    <x v="0"/>
    <n v="12"/>
    <s v="2022-12"/>
    <n v="268"/>
    <n v="2807217.25"/>
    <n v="10474.69"/>
  </r>
  <r>
    <x v="1"/>
    <n v="1"/>
    <s v="2023-01"/>
    <n v="259"/>
    <n v="2325568.6"/>
    <n v="8979.0300000000007"/>
  </r>
  <r>
    <x v="1"/>
    <n v="2"/>
    <s v="2023-02"/>
    <n v="211"/>
    <n v="1620826.1"/>
    <n v="7681.64"/>
  </r>
  <r>
    <x v="1"/>
    <n v="3"/>
    <s v="2023-03"/>
    <n v="304"/>
    <n v="3336347.47"/>
    <n v="10974.83"/>
  </r>
  <r>
    <x v="1"/>
    <n v="4"/>
    <s v="2023-04"/>
    <n v="269"/>
    <n v="1871923.5"/>
    <n v="6958.82"/>
  </r>
  <r>
    <x v="1"/>
    <n v="5"/>
    <s v="2023-05"/>
    <n v="293"/>
    <n v="3452924.45"/>
    <n v="11784.73"/>
  </r>
  <r>
    <x v="1"/>
    <n v="6"/>
    <s v="2023-06"/>
    <n v="390"/>
    <n v="4610647.22"/>
    <n v="11822.17"/>
  </r>
  <r>
    <x v="1"/>
    <n v="7"/>
    <s v="2023-07"/>
    <n v="385"/>
    <n v="3840231.46"/>
    <n v="9974.6299999999992"/>
  </r>
  <r>
    <x v="1"/>
    <n v="8"/>
    <s v="2023-08"/>
    <n v="285"/>
    <n v="2442451.1800000002"/>
    <n v="8570"/>
  </r>
  <r>
    <x v="1"/>
    <n v="9"/>
    <s v="2023-09"/>
    <n v="352"/>
    <n v="3881724.19"/>
    <n v="11027.63"/>
  </r>
  <r>
    <x v="1"/>
    <n v="10"/>
    <s v="2023-10"/>
    <n v="321"/>
    <n v="2858060.2"/>
    <n v="8903.61"/>
  </r>
  <r>
    <x v="1"/>
    <n v="11"/>
    <s v="2023-11"/>
    <n v="383"/>
    <n v="2097153.13"/>
    <n v="5475.6"/>
  </r>
  <r>
    <x v="1"/>
    <n v="12"/>
    <s v="2023-12"/>
    <n v="378"/>
    <n v="3176848.17"/>
    <n v="8404.36"/>
  </r>
  <r>
    <x v="2"/>
    <n v="1"/>
    <s v="2024-01"/>
    <n v="400"/>
    <n v="2340061.5499999998"/>
    <n v="5850.15"/>
  </r>
  <r>
    <x v="2"/>
    <n v="2"/>
    <s v="2024-02"/>
    <n v="338"/>
    <n v="2629322.4500000002"/>
    <n v="7779.06"/>
  </r>
  <r>
    <x v="2"/>
    <n v="3"/>
    <s v="2024-03"/>
    <n v="443"/>
    <n v="3826046.07"/>
    <n v="8636.67"/>
  </r>
  <r>
    <x v="2"/>
    <n v="4"/>
    <s v="2024-04"/>
    <n v="426"/>
    <n v="2841585.78"/>
    <n v="6670.39"/>
  </r>
  <r>
    <x v="2"/>
    <n v="5"/>
    <s v="2024-05"/>
    <n v="436"/>
    <n v="3672137.65"/>
    <n v="8422.33"/>
  </r>
  <r>
    <x v="2"/>
    <n v="6"/>
    <s v="2024-06"/>
    <n v="741"/>
    <n v="5707181.0899999999"/>
    <n v="7702"/>
  </r>
  <r>
    <x v="2"/>
    <n v="7"/>
    <s v="2024-07"/>
    <n v="1755"/>
    <n v="5546401.0700000003"/>
    <n v="3160.34"/>
  </r>
  <r>
    <x v="2"/>
    <n v="8"/>
    <s v="2024-08"/>
    <n v="1785"/>
    <n v="3724394.9"/>
    <n v="2086.5"/>
  </r>
  <r>
    <x v="2"/>
    <n v="9"/>
    <s v="2024-09"/>
    <n v="1796"/>
    <n v="5091152.26"/>
    <n v="2834.72"/>
  </r>
  <r>
    <x v="2"/>
    <n v="10"/>
    <s v="2024-10"/>
    <n v="1971"/>
    <n v="5401903.75"/>
    <n v="2740.69"/>
  </r>
  <r>
    <x v="2"/>
    <n v="11"/>
    <s v="2024-11"/>
    <n v="2100"/>
    <n v="3671582.38"/>
    <n v="1748.37"/>
  </r>
  <r>
    <x v="2"/>
    <n v="12"/>
    <s v="2024-12"/>
    <n v="2053"/>
    <n v="4568717.58"/>
    <n v="2225.39"/>
  </r>
  <r>
    <x v="3"/>
    <n v="1"/>
    <s v="2025-01"/>
    <n v="2136"/>
    <n v="4783231.67"/>
    <n v="2239.34"/>
  </r>
  <r>
    <x v="3"/>
    <n v="2"/>
    <s v="2025-02"/>
    <n v="1857"/>
    <n v="3987943.62"/>
    <n v="2147.52"/>
  </r>
  <r>
    <x v="3"/>
    <n v="3"/>
    <s v="2025-03"/>
    <n v="2304"/>
    <n v="5585675.8099999996"/>
    <n v="2424.34"/>
  </r>
  <r>
    <x v="3"/>
    <n v="4"/>
    <s v="2025-04"/>
    <n v="2279"/>
    <n v="5847164.6900000004"/>
    <n v="2565.67"/>
  </r>
  <r>
    <x v="3"/>
    <n v="5"/>
    <s v="2025-05"/>
    <n v="2218"/>
    <n v="2108405.79"/>
    <n v="950.59"/>
  </r>
  <r>
    <x v="3"/>
    <n v="6"/>
    <s v="2025-06"/>
    <n v="905"/>
    <n v="52478.19"/>
    <n v="57.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9538"/>
    <n v="47196"/>
    <n v="43909437.509999998"/>
    <n v="1172.0999999999999"/>
  </r>
  <r>
    <x v="0"/>
    <x v="1"/>
    <n v="6185"/>
    <n v="28321"/>
    <n v="36445443.939999998"/>
    <n v="1451.21"/>
  </r>
  <r>
    <x v="0"/>
    <x v="2"/>
    <n v="2645"/>
    <n v="14751"/>
    <n v="14296291.26"/>
    <n v="1146.2"/>
  </r>
  <r>
    <x v="1"/>
    <x v="3"/>
    <n v="861"/>
    <n v="11621"/>
    <n v="4713930.2300000004"/>
    <n v="432.33"/>
  </r>
  <r>
    <x v="1"/>
    <x v="4"/>
    <n v="1016"/>
    <n v="11753"/>
    <n v="3851350.6"/>
    <n v="335.01"/>
  </r>
  <r>
    <x v="1"/>
    <x v="5"/>
    <n v="272"/>
    <n v="3725"/>
    <n v="1642327.69"/>
    <n v="425.5"/>
  </r>
  <r>
    <x v="2"/>
    <x v="6"/>
    <n v="4781"/>
    <n v="22711"/>
    <n v="752259.39"/>
    <n v="40.22"/>
  </r>
  <r>
    <x v="1"/>
    <x v="7"/>
    <n v="720"/>
    <n v="5273"/>
    <n v="680831.35"/>
    <n v="127.61"/>
  </r>
  <r>
    <x v="3"/>
    <x v="8"/>
    <n v="7512"/>
    <n v="19541"/>
    <n v="484048.53"/>
    <n v="30.57"/>
  </r>
  <r>
    <x v="2"/>
    <x v="9"/>
    <n v="1778"/>
    <n v="9967"/>
    <n v="413600.51"/>
    <n v="51.37"/>
  </r>
  <r>
    <x v="2"/>
    <x v="10"/>
    <n v="1109"/>
    <n v="6738"/>
    <n v="259488.37"/>
    <n v="47.74"/>
  </r>
  <r>
    <x v="3"/>
    <x v="11"/>
    <n v="10030"/>
    <n v="18006"/>
    <n v="246454.53"/>
    <n v="14.05"/>
  </r>
  <r>
    <x v="2"/>
    <x v="12"/>
    <n v="2425"/>
    <n v="13012"/>
    <n v="243511.98"/>
    <n v="20.58"/>
  </r>
  <r>
    <x v="3"/>
    <x v="13"/>
    <n v="796"/>
    <n v="3166"/>
    <n v="237096.16"/>
    <n v="91.46"/>
  </r>
  <r>
    <x v="1"/>
    <x v="14"/>
    <n v="261"/>
    <n v="1107"/>
    <n v="203942.62"/>
    <n v="179.76"/>
  </r>
  <r>
    <x v="2"/>
    <x v="15"/>
    <n v="475"/>
    <n v="4589"/>
    <n v="203149.08"/>
    <n v="44.88"/>
  </r>
  <r>
    <x v="1"/>
    <x v="16"/>
    <n v="1010"/>
    <n v="3950"/>
    <n v="170591.32"/>
    <n v="44.73"/>
  </r>
  <r>
    <x v="2"/>
    <x v="17"/>
    <n v="396"/>
    <n v="3125"/>
    <n v="167558.62"/>
    <n v="53.96"/>
  </r>
  <r>
    <x v="1"/>
    <x v="18"/>
    <n v="756"/>
    <n v="3931"/>
    <n v="147483.91"/>
    <n v="37.35"/>
  </r>
  <r>
    <x v="3"/>
    <x v="19"/>
    <n v="1074"/>
    <n v="2761"/>
    <n v="105826.42"/>
    <n v="47.95"/>
  </r>
  <r>
    <x v="1"/>
    <x v="20"/>
    <n v="133"/>
    <n v="634"/>
    <n v="77931.69"/>
    <n v="117.43"/>
  </r>
  <r>
    <x v="1"/>
    <x v="21"/>
    <n v="283"/>
    <n v="1166"/>
    <n v="70209.5"/>
    <n v="61.36"/>
  </r>
  <r>
    <x v="1"/>
    <x v="22"/>
    <n v="295"/>
    <n v="1035"/>
    <n v="66018.710000000006"/>
    <n v="63.88"/>
  </r>
  <r>
    <x v="3"/>
    <x v="23"/>
    <n v="5212"/>
    <n v="10552"/>
    <n v="64274.79"/>
    <n v="6.9"/>
  </r>
  <r>
    <x v="1"/>
    <x v="24"/>
    <n v="137"/>
    <n v="1009"/>
    <n v="60942.2"/>
    <n v="59.78"/>
  </r>
  <r>
    <x v="1"/>
    <x v="25"/>
    <n v="526"/>
    <n v="2145"/>
    <n v="55829.39"/>
    <n v="26.17"/>
  </r>
  <r>
    <x v="1"/>
    <x v="26"/>
    <n v="248"/>
    <n v="921"/>
    <n v="51826.37"/>
    <n v="56.39"/>
  </r>
  <r>
    <x v="2"/>
    <x v="27"/>
    <n v="3382"/>
    <n v="8311"/>
    <n v="51229.45"/>
    <n v="7.67"/>
  </r>
  <r>
    <x v="3"/>
    <x v="28"/>
    <n v="2121"/>
    <n v="2121"/>
    <n v="46619.58"/>
    <n v="21.98"/>
  </r>
  <r>
    <x v="3"/>
    <x v="29"/>
    <n v="249"/>
    <n v="249"/>
    <n v="39591"/>
    <n v="159"/>
  </r>
  <r>
    <x v="2"/>
    <x v="30"/>
    <n v="1143"/>
    <n v="5217"/>
    <n v="29745.13"/>
    <n v="6.85"/>
  </r>
  <r>
    <x v="3"/>
    <x v="31"/>
    <n v="1327"/>
    <n v="3319"/>
    <n v="18406.97"/>
    <n v="6.94"/>
  </r>
  <r>
    <x v="3"/>
    <x v="32"/>
    <n v="260"/>
    <n v="1087"/>
    <n v="16240.22"/>
    <n v="14.99"/>
  </r>
  <r>
    <x v="3"/>
    <x v="33"/>
    <n v="267"/>
    <n v="1130"/>
    <n v="13514.69"/>
    <n v="11.99"/>
  </r>
  <r>
    <x v="1"/>
    <x v="34"/>
    <n v="250"/>
    <n v="774"/>
    <n v="9377.7099999999991"/>
    <n v="12.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US"/>
    <s v="North America"/>
    <n v="6224"/>
    <n v="4565"/>
    <n v="27150594.59"/>
    <n v="4362.24"/>
  </r>
  <r>
    <x v="1"/>
    <s v="CA"/>
    <s v="North America"/>
    <n v="4067"/>
    <n v="1677"/>
    <n v="18398929.190000001"/>
    <n v="4523.96"/>
  </r>
  <r>
    <x v="2"/>
    <s v="US"/>
    <s v="North America"/>
    <n v="4594"/>
    <n v="3428"/>
    <n v="18061660.370000001"/>
    <n v="3931.58"/>
  </r>
  <r>
    <x v="3"/>
    <s v="AU"/>
    <s v="Pacific"/>
    <n v="6843"/>
    <n v="3625"/>
    <n v="11814376.1"/>
    <n v="1726.49"/>
  </r>
  <r>
    <x v="4"/>
    <s v="US"/>
    <s v="North America"/>
    <n v="385"/>
    <n v="69"/>
    <n v="8913299.25"/>
    <n v="23151.43"/>
  </r>
  <r>
    <x v="5"/>
    <s v="US"/>
    <s v="North America"/>
    <n v="486"/>
    <n v="91"/>
    <n v="8884099.3699999992"/>
    <n v="18280.04"/>
  </r>
  <r>
    <x v="6"/>
    <s v="GB"/>
    <s v="Europe"/>
    <n v="3219"/>
    <n v="1951"/>
    <n v="8574048.7100000009"/>
    <n v="2663.58"/>
  </r>
  <r>
    <x v="7"/>
    <s v="FR"/>
    <s v="Europe"/>
    <n v="2672"/>
    <n v="1844"/>
    <n v="8119749.3499999996"/>
    <n v="3038.83"/>
  </r>
  <r>
    <x v="8"/>
    <s v="US"/>
    <s v="North America"/>
    <n v="352"/>
    <n v="57"/>
    <n v="7820209.6299999999"/>
    <n v="22216.5"/>
  </r>
  <r>
    <x v="9"/>
    <s v="DE"/>
    <s v="Europe"/>
    <n v="2623"/>
    <n v="1812"/>
    <n v="5479819.5800000001"/>
    <n v="2089.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Southwest"/>
    <n v="418"/>
    <n v="11695019.060000001"/>
    <n v="27978.51"/>
  </r>
  <r>
    <x v="1"/>
    <s v="Central"/>
    <n v="473"/>
    <n v="11342385.9"/>
    <n v="23979.67"/>
  </r>
  <r>
    <x v="2"/>
    <s v="Northeast"/>
    <n v="450"/>
    <n v="10475367.08"/>
    <n v="23278.59"/>
  </r>
  <r>
    <x v="3"/>
    <s v="United Kingdom"/>
    <n v="348"/>
    <n v="9585124.9499999993"/>
    <n v="27543.46"/>
  </r>
  <r>
    <x v="4"/>
    <s v="Southeast"/>
    <n v="429"/>
    <n v="8086073.6799999997"/>
    <n v="18848.66"/>
  </r>
  <r>
    <x v="5"/>
    <s v="Southwest"/>
    <n v="242"/>
    <n v="7259567.8799999999"/>
    <n v="29998.21"/>
  </r>
  <r>
    <x v="6"/>
    <s v="Canada"/>
    <n v="271"/>
    <n v="6683536.6600000001"/>
    <n v="24662.5"/>
  </r>
  <r>
    <x v="7"/>
    <s v="France"/>
    <n v="175"/>
    <n v="5087977.21"/>
    <n v="29074.16"/>
  </r>
  <r>
    <x v="8"/>
    <s v="Northwest"/>
    <n v="189"/>
    <n v="4207894.5999999996"/>
    <n v="22263.99"/>
  </r>
  <r>
    <x v="9"/>
    <s v="Canada"/>
    <n v="234"/>
    <n v="4069422.21"/>
    <n v="17390.689999999999"/>
  </r>
  <r>
    <x v="10"/>
    <s v="Northwest"/>
    <n v="95"/>
    <n v="3748246.12"/>
    <n v="39455.22"/>
  </r>
  <r>
    <x v="11"/>
    <s v="Northwest"/>
    <n v="140"/>
    <n v="2608116.38"/>
    <n v="18629.400000000001"/>
  </r>
  <r>
    <x v="12"/>
    <s v="Germany"/>
    <n v="130"/>
    <n v="2062393.14"/>
    <n v="15864.56"/>
  </r>
  <r>
    <x v="13"/>
    <s v="Australia"/>
    <n v="109"/>
    <n v="1606441.45"/>
    <n v="14737.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692"/>
    <n v="16316694.17"/>
    <m/>
    <m/>
  </r>
  <r>
    <x v="1"/>
    <n v="3830"/>
    <n v="35514705.670000002"/>
    <n v="16316694.17"/>
    <n v="117.66"/>
  </r>
  <r>
    <x v="2"/>
    <n v="14244"/>
    <n v="49020486.509999998"/>
    <n v="35514705.670000002"/>
    <n v="38.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48BE9-7F3E-4641-A584-80ECFEE9BB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location ref="A3:C7" firstHeaderRow="0" firstDataRow="1" firstDataCol="1"/>
  <pivotFields count="6">
    <pivotField axis="axisRow" showAll="0">
      <items count="5">
        <item x="0"/>
        <item x="1"/>
        <item x="2"/>
        <item h="1" x="3"/>
        <item t="default"/>
      </items>
    </pivotField>
    <pivotField showAll="0"/>
    <pivotField showAll="0"/>
    <pivotField dataField="1" showAll="0"/>
    <pivotField dataField="1" showAll="0"/>
    <pivotField showAll="0"/>
  </pivotFields>
  <rowFields count="1">
    <field x="0"/>
  </rowFields>
  <rowItems count="4">
    <i>
      <x/>
    </i>
    <i>
      <x v="1"/>
    </i>
    <i>
      <x v="2"/>
    </i>
    <i t="grand">
      <x/>
    </i>
  </rowItems>
  <colFields count="1">
    <field x="-2"/>
  </colFields>
  <colItems count="2">
    <i>
      <x/>
    </i>
    <i i="1">
      <x v="1"/>
    </i>
  </colItems>
  <dataFields count="2">
    <dataField name="Revenue" fld="4" baseField="0" baseItem="0" numFmtId="165"/>
    <dataField name="Orders" fld="3" baseField="0" baseItem="0" numFmtId="3"/>
  </dataFields>
  <formats count="3">
    <format dxfId="11">
      <pivotArea collapsedLevelsAreSubtotals="1" fieldPosition="0">
        <references count="2">
          <reference field="4294967294" count="1" selected="0">
            <x v="0"/>
          </reference>
          <reference field="0" count="1">
            <x v="0"/>
          </reference>
        </references>
      </pivotArea>
    </format>
    <format dxfId="10">
      <pivotArea outline="0" fieldPosition="0">
        <references count="1">
          <reference field="4294967294" count="1">
            <x v="0"/>
          </reference>
        </references>
      </pivotArea>
    </format>
    <format dxfId="9">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DB92D-D2DC-4083-ABF9-E5FD716B69E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3:C8" firstHeaderRow="0" firstDataRow="1" firstDataCol="1"/>
  <pivotFields count="6">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36">
        <item x="17"/>
        <item x="13"/>
        <item x="29"/>
        <item x="23"/>
        <item x="26"/>
        <item x="22"/>
        <item x="27"/>
        <item x="34"/>
        <item x="31"/>
        <item x="14"/>
        <item x="21"/>
        <item x="28"/>
        <item x="20"/>
        <item x="12"/>
        <item x="16"/>
        <item x="24"/>
        <item x="8"/>
        <item x="19"/>
        <item x="6"/>
        <item x="32"/>
        <item x="1"/>
        <item x="3"/>
        <item x="18"/>
        <item x="33"/>
        <item x="0"/>
        <item x="4"/>
        <item x="25"/>
        <item x="9"/>
        <item x="30"/>
        <item x="15"/>
        <item x="11"/>
        <item x="2"/>
        <item x="5"/>
        <item x="10"/>
        <item x="7"/>
        <item t="default"/>
      </items>
    </pivotField>
    <pivotField showAll="0"/>
    <pivotField dataField="1" showAll="0"/>
    <pivotField dataField="1" showAll="0"/>
    <pivotField showAll="0"/>
  </pivotFields>
  <rowFields count="1">
    <field x="0"/>
  </rowFields>
  <rowItems count="5">
    <i>
      <x v="3"/>
    </i>
    <i>
      <x v="1"/>
    </i>
    <i>
      <x/>
    </i>
    <i>
      <x v="2"/>
    </i>
    <i t="grand">
      <x/>
    </i>
  </rowItems>
  <colFields count="1">
    <field x="-2"/>
  </colFields>
  <colItems count="2">
    <i>
      <x/>
    </i>
    <i i="1">
      <x v="1"/>
    </i>
  </colItems>
  <dataFields count="2">
    <dataField name="Revenue" fld="4" baseField="0" baseItem="0" numFmtId="165"/>
    <dataField name="Units sold" fld="3"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6371F-FD21-4910-BB6F-FAD6F50F819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4" firstHeaderRow="0" firstDataRow="1" firstDataCol="1"/>
  <pivotFields count="7">
    <pivotField axis="axisRow" showAll="0" sortType="ascending">
      <items count="11">
        <item x="3"/>
        <item x="1"/>
        <item x="4"/>
        <item x="7"/>
        <item x="9"/>
        <item x="8"/>
        <item x="2"/>
        <item x="5"/>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s>
  <rowFields count="1">
    <field x="0"/>
  </rowFields>
  <rowItems count="11">
    <i>
      <x v="4"/>
    </i>
    <i>
      <x v="5"/>
    </i>
    <i>
      <x v="3"/>
    </i>
    <i>
      <x v="9"/>
    </i>
    <i>
      <x v="7"/>
    </i>
    <i>
      <x v="2"/>
    </i>
    <i>
      <x/>
    </i>
    <i>
      <x v="6"/>
    </i>
    <i>
      <x v="1"/>
    </i>
    <i>
      <x v="8"/>
    </i>
    <i t="grand">
      <x/>
    </i>
  </rowItems>
  <colFields count="1">
    <field x="-2"/>
  </colFields>
  <colItems count="2">
    <i>
      <x/>
    </i>
    <i i="1">
      <x v="1"/>
    </i>
  </colItems>
  <dataFields count="2">
    <dataField name="Revenue" fld="5" baseField="0" baseItem="0" numFmtId="165"/>
    <dataField name="Total Customers" fld="4" baseField="0" baseItem="0" numFmtId="3"/>
  </dataFields>
  <formats count="1">
    <format dxfId="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666D9F-CEE6-4FF2-B1E5-62C98670F32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person Name">
  <location ref="A3:C18" firstHeaderRow="0" firstDataRow="1" firstDataCol="1"/>
  <pivotFields count="5">
    <pivotField axis="axisRow" showAll="0" sortType="descending">
      <items count="15">
        <item x="8"/>
        <item x="9"/>
        <item x="3"/>
        <item x="1"/>
        <item x="6"/>
        <item x="0"/>
        <item x="13"/>
        <item x="2"/>
        <item x="10"/>
        <item x="12"/>
        <item x="7"/>
        <item x="5"/>
        <item x="11"/>
        <item x="4"/>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s>
  <rowFields count="1">
    <field x="0"/>
  </rowFields>
  <rowItems count="15">
    <i>
      <x v="5"/>
    </i>
    <i>
      <x v="3"/>
    </i>
    <i>
      <x v="7"/>
    </i>
    <i>
      <x v="2"/>
    </i>
    <i>
      <x v="13"/>
    </i>
    <i>
      <x v="11"/>
    </i>
    <i>
      <x v="4"/>
    </i>
    <i>
      <x v="10"/>
    </i>
    <i>
      <x/>
    </i>
    <i>
      <x v="1"/>
    </i>
    <i>
      <x v="8"/>
    </i>
    <i>
      <x v="12"/>
    </i>
    <i>
      <x v="9"/>
    </i>
    <i>
      <x v="6"/>
    </i>
    <i t="grand">
      <x/>
    </i>
  </rowItems>
  <colFields count="1">
    <field x="-2"/>
  </colFields>
  <colItems count="2">
    <i>
      <x/>
    </i>
    <i i="1">
      <x v="1"/>
    </i>
  </colItems>
  <dataFields count="2">
    <dataField name="Revenue" fld="3" baseField="0" baseItem="0" numFmtId="165"/>
    <dataField name="Sum of total_orders" fld="2"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6A9353-4A01-4305-9613-D6ED7D48D4D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0" firstDataRow="1" firstDataCol="1"/>
  <pivotFields count="5">
    <pivotField axis="axisRow" showAll="0">
      <items count="4">
        <item x="0"/>
        <item x="1"/>
        <item x="2"/>
        <item t="default"/>
      </items>
    </pivotField>
    <pivotField dataField="1" showAll="0"/>
    <pivotField dataField="1" showAll="0"/>
    <pivotField showAll="0"/>
    <pivotField dataField="1" showAll="0"/>
  </pivotFields>
  <rowFields count="1">
    <field x="0"/>
  </rowFields>
  <rowItems count="4">
    <i>
      <x/>
    </i>
    <i>
      <x v="1"/>
    </i>
    <i>
      <x v="2"/>
    </i>
    <i t="grand">
      <x/>
    </i>
  </rowItems>
  <colFields count="1">
    <field x="-2"/>
  </colFields>
  <colItems count="3">
    <i>
      <x/>
    </i>
    <i i="1">
      <x v="1"/>
    </i>
    <i i="2">
      <x v="2"/>
    </i>
  </colItems>
  <dataFields count="3">
    <dataField name="Revenue" fld="2" baseField="0" baseItem="0" numFmtId="165"/>
    <dataField name="Sum of total_orders" fld="1" baseField="0" baseItem="0" numFmtId="3"/>
    <dataField name="Sum of yoy_growth_pct"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C1396E-EDB0-4899-8E25-C89F9288DC93}" sourceName="year">
  <pivotTables>
    <pivotTable tabId="9" name="PivotTable1"/>
  </pivotTables>
  <data>
    <tabular pivotCacheId="312810037">
      <items count="4">
        <i x="0" s="1"/>
        <i x="1"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ED638A-5841-41DD-A5E6-9E1D2E6F6C0E}" sourceName="category">
  <pivotTables>
    <pivotTable tabId="10" name="PivotTable2"/>
  </pivotTables>
  <data>
    <tabular pivotCacheId="4308746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89FD1197-20E2-490C-9506-5CEC56B5047A}" sourceName="territory">
  <pivotTables>
    <pivotTable tabId="11" name="PivotTable3"/>
  </pivotTables>
  <data>
    <tabular pivotCacheId="297063281">
      <items count="10">
        <i x="3" s="1"/>
        <i x="1" s="1"/>
        <i x="4" s="1"/>
        <i x="7" s="1"/>
        <i x="9" s="1"/>
        <i x="8" s="1"/>
        <i x="2" s="1"/>
        <i x="5"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F3650C0-4CD1-4FDA-B86B-559B93851176}" cache="Slicer_year" caption="year" rowHeight="23777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2A8EE02-A1B1-44C7-B177-7FE664305867}" cache="Slicer_category" caption="category" rowHeight="237771"/>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CE96F638-B649-4795-AC99-4102B842A435}" cache="Slicer_territory" caption="territory" startItem="2"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5C29F-6413-45CF-8559-256CDA068697}">
  <sheetPr>
    <tabColor theme="3"/>
    <pageSetUpPr autoPageBreaks="0"/>
  </sheetPr>
  <dimension ref="B2:I6"/>
  <sheetViews>
    <sheetView showGridLines="0" tabSelected="1" zoomScale="70" zoomScaleNormal="70" workbookViewId="0">
      <selection activeCell="V24" sqref="V24"/>
    </sheetView>
  </sheetViews>
  <sheetFormatPr defaultRowHeight="14.35"/>
  <cols>
    <col min="1" max="1" width="8.9375" style="9"/>
    <col min="2" max="2" width="22.703125" style="9" bestFit="1" customWidth="1"/>
    <col min="3" max="3" width="8.9375" style="9"/>
    <col min="4" max="4" width="12.9375" style="9" bestFit="1" customWidth="1"/>
    <col min="5" max="5" width="8.9375" style="9"/>
    <col min="6" max="6" width="9.76171875" style="9" bestFit="1" customWidth="1"/>
    <col min="7" max="7" width="8.9375" style="9"/>
    <col min="8" max="8" width="16.9375" style="9" bestFit="1" customWidth="1"/>
    <col min="9" max="16384" width="8.9375" style="9"/>
  </cols>
  <sheetData>
    <row r="2" spans="2:9" ht="25.7">
      <c r="B2" s="10" t="s">
        <v>264</v>
      </c>
    </row>
    <row r="3" spans="2:9">
      <c r="B3" s="11" t="s">
        <v>265</v>
      </c>
    </row>
    <row r="5" spans="2:9">
      <c r="B5" s="14" t="s">
        <v>236</v>
      </c>
      <c r="C5" s="12"/>
      <c r="D5" s="14" t="s">
        <v>237</v>
      </c>
      <c r="E5" s="12"/>
      <c r="F5" s="14" t="s">
        <v>266</v>
      </c>
      <c r="G5" s="12"/>
      <c r="H5" s="14" t="s">
        <v>239</v>
      </c>
      <c r="I5" s="12"/>
    </row>
    <row r="6" spans="2:9" ht="23.35">
      <c r="B6" s="18" t="str">
        <f>TEXT(SUM('Monthly Revenue'!E:E),"$#,##0")</f>
        <v>$123,216,786</v>
      </c>
      <c r="C6" s="13"/>
      <c r="D6" s="15">
        <f>'KPI Summary'!B4</f>
        <v>31465</v>
      </c>
      <c r="E6" s="13"/>
      <c r="F6" s="15">
        <f>'KPI Summary'!B5</f>
        <v>19119</v>
      </c>
      <c r="G6" s="13"/>
      <c r="H6" s="19">
        <f>'KPI Summary'!B6</f>
        <v>3915.9951101223587</v>
      </c>
    </row>
  </sheetData>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51E4-A5FE-4C56-A14D-94C9550F266E}">
  <dimension ref="A1:D15"/>
  <sheetViews>
    <sheetView workbookViewId="0">
      <selection activeCell="F16" sqref="F16"/>
    </sheetView>
  </sheetViews>
  <sheetFormatPr defaultRowHeight="14.35"/>
  <cols>
    <col min="1" max="1" width="38.17578125" bestFit="1" customWidth="1"/>
    <col min="2" max="2" width="18.17578125" bestFit="1" customWidth="1"/>
    <col min="5" max="5" width="16.46875" customWidth="1"/>
  </cols>
  <sheetData>
    <row r="1" spans="1:4">
      <c r="A1" t="s">
        <v>235</v>
      </c>
    </row>
    <row r="3" spans="1:4" ht="25.35" customHeight="1">
      <c r="A3" t="s">
        <v>236</v>
      </c>
      <c r="B3" s="3">
        <f>SUM('Monthly Revenue'!E:E)</f>
        <v>123216786.14000002</v>
      </c>
      <c r="D3" t="s">
        <v>261</v>
      </c>
    </row>
    <row r="4" spans="1:4" ht="22" customHeight="1">
      <c r="A4" t="s">
        <v>237</v>
      </c>
      <c r="B4" s="17">
        <f>SUM('Monthly Revenue'!D:D)</f>
        <v>31465</v>
      </c>
    </row>
    <row r="5" spans="1:4">
      <c r="A5" t="s">
        <v>238</v>
      </c>
      <c r="B5" s="4">
        <v>19119</v>
      </c>
    </row>
    <row r="6" spans="1:4">
      <c r="A6" t="s">
        <v>239</v>
      </c>
      <c r="B6">
        <f>SUM('Monthly Revenue'!E:E)/SUM('Monthly Revenue'!D:D)</f>
        <v>3915.9951101223587</v>
      </c>
    </row>
    <row r="7" spans="1:4">
      <c r="A7" t="s">
        <v>240</v>
      </c>
      <c r="B7" t="s">
        <v>241</v>
      </c>
    </row>
    <row r="8" spans="1:4">
      <c r="A8" t="s">
        <v>242</v>
      </c>
      <c r="B8">
        <v>4</v>
      </c>
    </row>
    <row r="10" spans="1:4">
      <c r="A10" t="s">
        <v>243</v>
      </c>
      <c r="B10" t="s">
        <v>244</v>
      </c>
    </row>
    <row r="11" spans="1:4">
      <c r="A11" t="s">
        <v>245</v>
      </c>
      <c r="B11" t="s">
        <v>246</v>
      </c>
    </row>
    <row r="12" spans="1:4">
      <c r="A12" t="s">
        <v>247</v>
      </c>
      <c r="B12" t="s">
        <v>248</v>
      </c>
    </row>
    <row r="13" spans="1:4">
      <c r="A13" t="s">
        <v>249</v>
      </c>
      <c r="B13" t="s">
        <v>250</v>
      </c>
    </row>
    <row r="15" spans="1:4">
      <c r="A15" t="s">
        <v>251</v>
      </c>
      <c r="B15" t="s">
        <v>252</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CA076DC2-EFFD-432E-8D2D-9CD4B85BAE6D}">
          <x14:colorSeries rgb="FF376092"/>
          <x14:colorNegative rgb="FFD00000"/>
          <x14:colorAxis rgb="FF000000"/>
          <x14:colorMarkers rgb="FFD00000"/>
          <x14:colorFirst rgb="FFD00000"/>
          <x14:colorLast rgb="FFD00000"/>
          <x14:colorHigh theme="3"/>
          <x14:colorLow theme="3"/>
          <x14:sparklines>
            <x14:sparkline>
              <xm:f>'Monthly Revenue'!E2:E39</xm:f>
              <xm:sqref>E3</xm:sqref>
            </x14:sparkline>
          </x14:sparklines>
        </x14:sparklineGroup>
        <x14:sparklineGroup displayEmptyCellsAs="gap" high="1" low="1" xr2:uid="{D62B72F4-9F23-4101-B5E7-43C54B585123}">
          <x14:colorSeries rgb="FF376092"/>
          <x14:colorNegative rgb="FFD00000"/>
          <x14:colorAxis rgb="FF000000"/>
          <x14:colorMarkers rgb="FFD00000"/>
          <x14:colorFirst rgb="FFD00000"/>
          <x14:colorLast rgb="FFD00000"/>
          <x14:colorHigh theme="3"/>
          <x14:colorLow theme="3"/>
          <x14:sparklines>
            <x14:sparkline>
              <xm:f>'Monthly Revenue'!D2:D39</xm:f>
              <xm:sqref>E4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301C-1BE4-43A6-81A1-40FB89E81A08}">
  <dimension ref="A3:C7"/>
  <sheetViews>
    <sheetView workbookViewId="0">
      <selection activeCell="B4" sqref="B4"/>
    </sheetView>
  </sheetViews>
  <sheetFormatPr defaultRowHeight="14.35"/>
  <cols>
    <col min="1" max="1" width="10.234375" bestFit="1" customWidth="1"/>
    <col min="2" max="2" width="14.41015625" bestFit="1" customWidth="1"/>
    <col min="3" max="3" width="6.29296875" bestFit="1" customWidth="1"/>
  </cols>
  <sheetData>
    <row r="3" spans="1:3">
      <c r="A3" s="5" t="s">
        <v>258</v>
      </c>
      <c r="B3" t="s">
        <v>256</v>
      </c>
      <c r="C3" t="s">
        <v>257</v>
      </c>
    </row>
    <row r="4" spans="1:3">
      <c r="A4" s="6">
        <v>2022</v>
      </c>
      <c r="B4" s="7">
        <v>16316694.17</v>
      </c>
      <c r="C4" s="4">
        <v>1692</v>
      </c>
    </row>
    <row r="5" spans="1:3">
      <c r="A5" s="6">
        <v>2023</v>
      </c>
      <c r="B5" s="7">
        <v>35514705.670000002</v>
      </c>
      <c r="C5" s="4">
        <v>3830</v>
      </c>
    </row>
    <row r="6" spans="1:3">
      <c r="A6" s="6">
        <v>2024</v>
      </c>
      <c r="B6" s="7">
        <v>49020486.530000001</v>
      </c>
      <c r="C6" s="4">
        <v>14244</v>
      </c>
    </row>
    <row r="7" spans="1:3">
      <c r="A7" s="6" t="s">
        <v>254</v>
      </c>
      <c r="B7" s="7">
        <v>100851886.37</v>
      </c>
      <c r="C7" s="4">
        <v>19766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BFEE-023C-4849-A5C5-C6469252CE4E}">
  <dimension ref="A3:C8"/>
  <sheetViews>
    <sheetView workbookViewId="0">
      <selection activeCell="N14" sqref="N14"/>
    </sheetView>
  </sheetViews>
  <sheetFormatPr defaultRowHeight="14.35"/>
  <cols>
    <col min="1" max="1" width="10.703125" bestFit="1" customWidth="1"/>
    <col min="2" max="2" width="14.41015625" bestFit="1" customWidth="1"/>
    <col min="3" max="3" width="8.76171875" bestFit="1" customWidth="1"/>
  </cols>
  <sheetData>
    <row r="3" spans="1:3">
      <c r="A3" s="5" t="s">
        <v>260</v>
      </c>
      <c r="B3" t="s">
        <v>256</v>
      </c>
      <c r="C3" t="s">
        <v>259</v>
      </c>
    </row>
    <row r="4" spans="1:3">
      <c r="A4" s="6" t="s">
        <v>83</v>
      </c>
      <c r="B4" s="7">
        <v>1272072.8900000001</v>
      </c>
      <c r="C4" s="4">
        <v>61932</v>
      </c>
    </row>
    <row r="5" spans="1:3">
      <c r="A5" s="6" t="s">
        <v>80</v>
      </c>
      <c r="B5" s="7">
        <v>2120542.5300000003</v>
      </c>
      <c r="C5" s="4">
        <v>73670</v>
      </c>
    </row>
    <row r="6" spans="1:3">
      <c r="A6" s="6" t="s">
        <v>76</v>
      </c>
      <c r="B6" s="7">
        <v>11802593.289999999</v>
      </c>
      <c r="C6" s="4">
        <v>49044</v>
      </c>
    </row>
    <row r="7" spans="1:3">
      <c r="A7" s="6" t="s">
        <v>72</v>
      </c>
      <c r="B7" s="7">
        <v>94651172.709999993</v>
      </c>
      <c r="C7" s="4">
        <v>90268</v>
      </c>
    </row>
    <row r="8" spans="1:3">
      <c r="A8" s="6" t="s">
        <v>254</v>
      </c>
      <c r="B8" s="7">
        <v>109846381.42</v>
      </c>
      <c r="C8" s="4">
        <v>274914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6781-4B7F-44AF-AC6F-9533CE403E9C}">
  <dimension ref="A3:C14"/>
  <sheetViews>
    <sheetView topLeftCell="A13" workbookViewId="0">
      <selection activeCell="M23" sqref="M22:M23"/>
    </sheetView>
  </sheetViews>
  <sheetFormatPr defaultRowHeight="14.35"/>
  <cols>
    <col min="1" max="1" width="13.46875" bestFit="1" customWidth="1"/>
    <col min="2" max="2" width="14.41015625" bestFit="1" customWidth="1"/>
    <col min="3" max="3" width="13.87890625" bestFit="1" customWidth="1"/>
  </cols>
  <sheetData>
    <row r="3" spans="1:3">
      <c r="A3" s="5" t="s">
        <v>253</v>
      </c>
      <c r="B3" t="s">
        <v>256</v>
      </c>
      <c r="C3" s="8" t="s">
        <v>238</v>
      </c>
    </row>
    <row r="4" spans="1:3">
      <c r="A4" s="6" t="s">
        <v>66</v>
      </c>
      <c r="B4" s="7">
        <v>5479819.5800000001</v>
      </c>
      <c r="C4" s="4">
        <v>1812</v>
      </c>
    </row>
    <row r="5" spans="1:3">
      <c r="A5" s="6" t="s">
        <v>65</v>
      </c>
      <c r="B5" s="7">
        <v>7820209.6299999999</v>
      </c>
      <c r="C5" s="4">
        <v>57</v>
      </c>
    </row>
    <row r="6" spans="1:3">
      <c r="A6" s="6" t="s">
        <v>63</v>
      </c>
      <c r="B6" s="7">
        <v>8119749.3499999996</v>
      </c>
      <c r="C6" s="4">
        <v>1844</v>
      </c>
    </row>
    <row r="7" spans="1:3">
      <c r="A7" s="6" t="s">
        <v>60</v>
      </c>
      <c r="B7" s="7">
        <v>8574048.7100000009</v>
      </c>
      <c r="C7" s="4">
        <v>1951</v>
      </c>
    </row>
    <row r="8" spans="1:3">
      <c r="A8" s="6" t="s">
        <v>59</v>
      </c>
      <c r="B8" s="7">
        <v>8884099.3699999992</v>
      </c>
      <c r="C8" s="4">
        <v>91</v>
      </c>
    </row>
    <row r="9" spans="1:3">
      <c r="A9" s="6" t="s">
        <v>58</v>
      </c>
      <c r="B9" s="7">
        <v>8913299.25</v>
      </c>
      <c r="C9" s="4">
        <v>69</v>
      </c>
    </row>
    <row r="10" spans="1:3">
      <c r="A10" s="6" t="s">
        <v>55</v>
      </c>
      <c r="B10" s="7">
        <v>11814376.1</v>
      </c>
      <c r="C10" s="4">
        <v>3625</v>
      </c>
    </row>
    <row r="11" spans="1:3">
      <c r="A11" s="6" t="s">
        <v>54</v>
      </c>
      <c r="B11" s="7">
        <v>18061660.370000001</v>
      </c>
      <c r="C11" s="4">
        <v>3428</v>
      </c>
    </row>
    <row r="12" spans="1:3">
      <c r="A12" s="6" t="s">
        <v>52</v>
      </c>
      <c r="B12" s="7">
        <v>18398929.190000001</v>
      </c>
      <c r="C12" s="4">
        <v>1677</v>
      </c>
    </row>
    <row r="13" spans="1:3">
      <c r="A13" s="6" t="s">
        <v>49</v>
      </c>
      <c r="B13" s="7">
        <v>27150594.59</v>
      </c>
      <c r="C13" s="4">
        <v>4565</v>
      </c>
    </row>
    <row r="14" spans="1:3">
      <c r="A14" s="6" t="s">
        <v>254</v>
      </c>
      <c r="B14" s="7">
        <v>123216786.14000002</v>
      </c>
      <c r="C14" s="4">
        <v>19119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9387-42C0-4A50-9B88-B1B53AAA2AE9}">
  <dimension ref="A3:C18"/>
  <sheetViews>
    <sheetView topLeftCell="A28" workbookViewId="0">
      <selection activeCell="H13" sqref="H13"/>
    </sheetView>
  </sheetViews>
  <sheetFormatPr defaultRowHeight="14.35"/>
  <cols>
    <col min="1" max="1" width="20.234375" bestFit="1" customWidth="1"/>
    <col min="2" max="2" width="13.41015625" bestFit="1" customWidth="1"/>
    <col min="3" max="3" width="16.9375" bestFit="1" customWidth="1"/>
  </cols>
  <sheetData>
    <row r="3" spans="1:3">
      <c r="A3" s="5" t="s">
        <v>262</v>
      </c>
      <c r="B3" t="s">
        <v>256</v>
      </c>
      <c r="C3" t="s">
        <v>255</v>
      </c>
    </row>
    <row r="4" spans="1:3">
      <c r="A4" s="6" t="s">
        <v>112</v>
      </c>
      <c r="B4" s="7">
        <v>11695019.060000001</v>
      </c>
      <c r="C4" s="4">
        <v>418</v>
      </c>
    </row>
    <row r="5" spans="1:3">
      <c r="A5" s="6" t="s">
        <v>113</v>
      </c>
      <c r="B5" s="7">
        <v>11342385.9</v>
      </c>
      <c r="C5" s="4">
        <v>473</v>
      </c>
    </row>
    <row r="6" spans="1:3">
      <c r="A6" s="6" t="s">
        <v>114</v>
      </c>
      <c r="B6" s="7">
        <v>10475367.08</v>
      </c>
      <c r="C6" s="4">
        <v>450</v>
      </c>
    </row>
    <row r="7" spans="1:3">
      <c r="A7" s="6" t="s">
        <v>115</v>
      </c>
      <c r="B7" s="7">
        <v>9585124.9499999993</v>
      </c>
      <c r="C7" s="4">
        <v>348</v>
      </c>
    </row>
    <row r="8" spans="1:3">
      <c r="A8" s="6" t="s">
        <v>116</v>
      </c>
      <c r="B8" s="7">
        <v>8086073.6799999997</v>
      </c>
      <c r="C8" s="4">
        <v>429</v>
      </c>
    </row>
    <row r="9" spans="1:3">
      <c r="A9" s="6" t="s">
        <v>117</v>
      </c>
      <c r="B9" s="7">
        <v>7259567.8799999999</v>
      </c>
      <c r="C9" s="4">
        <v>242</v>
      </c>
    </row>
    <row r="10" spans="1:3">
      <c r="A10" s="6" t="s">
        <v>118</v>
      </c>
      <c r="B10" s="7">
        <v>6683536.6600000001</v>
      </c>
      <c r="C10" s="4">
        <v>271</v>
      </c>
    </row>
    <row r="11" spans="1:3">
      <c r="A11" s="6" t="s">
        <v>119</v>
      </c>
      <c r="B11" s="7">
        <v>5087977.21</v>
      </c>
      <c r="C11" s="4">
        <v>175</v>
      </c>
    </row>
    <row r="12" spans="1:3">
      <c r="A12" s="6" t="s">
        <v>120</v>
      </c>
      <c r="B12" s="7">
        <v>4207894.5999999996</v>
      </c>
      <c r="C12" s="4">
        <v>189</v>
      </c>
    </row>
    <row r="13" spans="1:3">
      <c r="A13" s="6" t="s">
        <v>121</v>
      </c>
      <c r="B13" s="7">
        <v>4069422.21</v>
      </c>
      <c r="C13" s="4">
        <v>234</v>
      </c>
    </row>
    <row r="14" spans="1:3">
      <c r="A14" s="6" t="s">
        <v>122</v>
      </c>
      <c r="B14" s="7">
        <v>3748246.12</v>
      </c>
      <c r="C14" s="4">
        <v>95</v>
      </c>
    </row>
    <row r="15" spans="1:3">
      <c r="A15" s="6" t="s">
        <v>123</v>
      </c>
      <c r="B15" s="7">
        <v>2608116.38</v>
      </c>
      <c r="C15" s="4">
        <v>140</v>
      </c>
    </row>
    <row r="16" spans="1:3">
      <c r="A16" s="6" t="s">
        <v>124</v>
      </c>
      <c r="B16" s="7">
        <v>2062393.14</v>
      </c>
      <c r="C16" s="4">
        <v>130</v>
      </c>
    </row>
    <row r="17" spans="1:3">
      <c r="A17" s="6" t="s">
        <v>125</v>
      </c>
      <c r="B17" s="7">
        <v>1606441.45</v>
      </c>
      <c r="C17" s="4">
        <v>109</v>
      </c>
    </row>
    <row r="18" spans="1:3">
      <c r="A18" s="6" t="s">
        <v>254</v>
      </c>
      <c r="B18" s="7">
        <v>88517566.319999993</v>
      </c>
      <c r="C18" s="4">
        <v>3703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8626-957E-4683-AF3A-CD04AE67BFDC}">
  <dimension ref="A3:D7"/>
  <sheetViews>
    <sheetView workbookViewId="0">
      <selection activeCell="G11" sqref="G11"/>
    </sheetView>
  </sheetViews>
  <sheetFormatPr defaultRowHeight="14.35"/>
  <cols>
    <col min="1" max="1" width="12.05859375" bestFit="1" customWidth="1"/>
    <col min="2" max="2" width="18.41015625" bestFit="1" customWidth="1"/>
    <col min="3" max="3" width="16.9375" bestFit="1" customWidth="1"/>
    <col min="4" max="4" width="20.17578125" bestFit="1" customWidth="1"/>
  </cols>
  <sheetData>
    <row r="3" spans="1:4">
      <c r="A3" s="5" t="s">
        <v>253</v>
      </c>
      <c r="B3" t="s">
        <v>256</v>
      </c>
      <c r="C3" t="s">
        <v>255</v>
      </c>
      <c r="D3" t="s">
        <v>263</v>
      </c>
    </row>
    <row r="4" spans="1:4">
      <c r="A4" s="6">
        <v>2022</v>
      </c>
      <c r="B4" s="7">
        <v>16316694.17</v>
      </c>
      <c r="C4" s="4">
        <v>1692</v>
      </c>
    </row>
    <row r="5" spans="1:4">
      <c r="A5" s="6">
        <v>2023</v>
      </c>
      <c r="B5" s="7">
        <v>35514705.670000002</v>
      </c>
      <c r="C5" s="4">
        <v>3830</v>
      </c>
      <c r="D5">
        <v>117.66</v>
      </c>
    </row>
    <row r="6" spans="1:4">
      <c r="A6" s="6">
        <v>2024</v>
      </c>
      <c r="B6" s="7">
        <v>49020486.509999998</v>
      </c>
      <c r="C6" s="4">
        <v>14244</v>
      </c>
      <c r="D6">
        <v>38.03</v>
      </c>
    </row>
    <row r="7" spans="1:4">
      <c r="A7" s="6" t="s">
        <v>254</v>
      </c>
      <c r="B7" s="7">
        <v>100851886.34999999</v>
      </c>
      <c r="C7" s="4">
        <v>19766</v>
      </c>
      <c r="D7">
        <v>155.69</v>
      </c>
    </row>
  </sheetData>
  <conditionalFormatting sqref="D1:D1048576">
    <cfRule type="iconSet" priority="1">
      <iconSet iconSet="3Arrows">
        <cfvo type="percent" val="0"/>
        <cfvo type="percent" val="33"/>
        <cfvo type="percent" val="67"/>
      </iconSet>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workbookViewId="0">
      <pane ySplit="1" topLeftCell="A20" activePane="bottomLeft" state="frozen"/>
      <selection pane="bottomLeft" activeCell="A27" sqref="A27:XFD27"/>
    </sheetView>
  </sheetViews>
  <sheetFormatPr defaultRowHeight="14.35"/>
  <cols>
    <col min="1" max="1" width="8.703125" bestFit="1" customWidth="1"/>
    <col min="2" max="2" width="10.52734375" bestFit="1" customWidth="1"/>
    <col min="3" max="3" width="15.05859375" bestFit="1" customWidth="1"/>
    <col min="4" max="4" width="15.1171875" style="4" bestFit="1" customWidth="1"/>
    <col min="5" max="5" width="19.703125" bestFit="1" customWidth="1"/>
    <col min="6" max="6" width="18.8203125" bestFit="1" customWidth="1"/>
  </cols>
  <sheetData>
    <row r="1" spans="1:6">
      <c r="A1" s="1" t="s">
        <v>0</v>
      </c>
      <c r="B1" s="1" t="s">
        <v>1</v>
      </c>
      <c r="C1" s="1" t="s">
        <v>2</v>
      </c>
      <c r="D1" s="16" t="s">
        <v>3</v>
      </c>
      <c r="E1" s="1" t="s">
        <v>4</v>
      </c>
      <c r="F1" s="1" t="s">
        <v>5</v>
      </c>
    </row>
    <row r="2" spans="1:6">
      <c r="A2">
        <v>2022</v>
      </c>
      <c r="B2">
        <v>5</v>
      </c>
      <c r="C2" t="s">
        <v>6</v>
      </c>
      <c r="D2" s="4">
        <v>47</v>
      </c>
      <c r="E2">
        <v>582415.28</v>
      </c>
      <c r="F2">
        <v>12391.81</v>
      </c>
    </row>
    <row r="3" spans="1:6">
      <c r="A3">
        <v>2022</v>
      </c>
      <c r="B3">
        <v>6</v>
      </c>
      <c r="C3" t="s">
        <v>7</v>
      </c>
      <c r="D3" s="4">
        <v>217</v>
      </c>
      <c r="E3">
        <v>2244313.14</v>
      </c>
      <c r="F3">
        <v>10342.459999999999</v>
      </c>
    </row>
    <row r="4" spans="1:6">
      <c r="A4">
        <v>2022</v>
      </c>
      <c r="B4">
        <v>7</v>
      </c>
      <c r="C4" t="s">
        <v>8</v>
      </c>
      <c r="D4" s="4">
        <v>215</v>
      </c>
      <c r="E4">
        <v>1868508.36</v>
      </c>
      <c r="F4">
        <v>8690.74</v>
      </c>
    </row>
    <row r="5" spans="1:6">
      <c r="A5">
        <v>2022</v>
      </c>
      <c r="B5">
        <v>8</v>
      </c>
      <c r="C5" t="s">
        <v>9</v>
      </c>
      <c r="D5" s="4">
        <v>189</v>
      </c>
      <c r="E5">
        <v>1483277.04</v>
      </c>
      <c r="F5">
        <v>7848.03</v>
      </c>
    </row>
    <row r="6" spans="1:6">
      <c r="A6">
        <v>2022</v>
      </c>
      <c r="B6">
        <v>9</v>
      </c>
      <c r="C6" t="s">
        <v>10</v>
      </c>
      <c r="D6" s="4">
        <v>250</v>
      </c>
      <c r="E6">
        <v>3183714.32</v>
      </c>
      <c r="F6">
        <v>12734.86</v>
      </c>
    </row>
    <row r="7" spans="1:6">
      <c r="A7">
        <v>2022</v>
      </c>
      <c r="B7">
        <v>10</v>
      </c>
      <c r="C7" t="s">
        <v>11</v>
      </c>
      <c r="D7" s="4">
        <v>239</v>
      </c>
      <c r="E7">
        <v>2543935.27</v>
      </c>
      <c r="F7">
        <v>10644.08</v>
      </c>
    </row>
    <row r="8" spans="1:6">
      <c r="A8">
        <v>2022</v>
      </c>
      <c r="B8">
        <v>11</v>
      </c>
      <c r="C8" t="s">
        <v>12</v>
      </c>
      <c r="D8" s="4">
        <v>267</v>
      </c>
      <c r="E8">
        <v>1603313.51</v>
      </c>
      <c r="F8">
        <v>6004.92</v>
      </c>
    </row>
    <row r="9" spans="1:6">
      <c r="A9">
        <v>2022</v>
      </c>
      <c r="B9">
        <v>12</v>
      </c>
      <c r="C9" t="s">
        <v>13</v>
      </c>
      <c r="D9" s="4">
        <v>268</v>
      </c>
      <c r="E9">
        <v>2807217.25</v>
      </c>
      <c r="F9">
        <v>10474.69</v>
      </c>
    </row>
    <row r="10" spans="1:6">
      <c r="A10">
        <v>2023</v>
      </c>
      <c r="B10">
        <v>1</v>
      </c>
      <c r="C10" t="s">
        <v>14</v>
      </c>
      <c r="D10" s="4">
        <v>259</v>
      </c>
      <c r="E10">
        <v>2325568.6</v>
      </c>
      <c r="F10">
        <v>8979.0300000000007</v>
      </c>
    </row>
    <row r="11" spans="1:6">
      <c r="A11">
        <v>2023</v>
      </c>
      <c r="B11">
        <v>2</v>
      </c>
      <c r="C11" t="s">
        <v>15</v>
      </c>
      <c r="D11" s="4">
        <v>211</v>
      </c>
      <c r="E11">
        <v>1620826.1</v>
      </c>
      <c r="F11">
        <v>7681.64</v>
      </c>
    </row>
    <row r="12" spans="1:6">
      <c r="A12">
        <v>2023</v>
      </c>
      <c r="B12">
        <v>3</v>
      </c>
      <c r="C12" t="s">
        <v>16</v>
      </c>
      <c r="D12" s="4">
        <v>304</v>
      </c>
      <c r="E12">
        <v>3336347.47</v>
      </c>
      <c r="F12">
        <v>10974.83</v>
      </c>
    </row>
    <row r="13" spans="1:6">
      <c r="A13">
        <v>2023</v>
      </c>
      <c r="B13">
        <v>4</v>
      </c>
      <c r="C13" t="s">
        <v>17</v>
      </c>
      <c r="D13" s="4">
        <v>269</v>
      </c>
      <c r="E13">
        <v>1871923.5</v>
      </c>
      <c r="F13">
        <v>6958.82</v>
      </c>
    </row>
    <row r="14" spans="1:6">
      <c r="A14">
        <v>2023</v>
      </c>
      <c r="B14">
        <v>5</v>
      </c>
      <c r="C14" t="s">
        <v>18</v>
      </c>
      <c r="D14" s="4">
        <v>293</v>
      </c>
      <c r="E14">
        <v>3452924.45</v>
      </c>
      <c r="F14">
        <v>11784.73</v>
      </c>
    </row>
    <row r="15" spans="1:6">
      <c r="A15">
        <v>2023</v>
      </c>
      <c r="B15">
        <v>6</v>
      </c>
      <c r="C15" t="s">
        <v>19</v>
      </c>
      <c r="D15" s="4">
        <v>390</v>
      </c>
      <c r="E15">
        <v>4610647.22</v>
      </c>
      <c r="F15">
        <v>11822.17</v>
      </c>
    </row>
    <row r="16" spans="1:6">
      <c r="A16">
        <v>2023</v>
      </c>
      <c r="B16">
        <v>7</v>
      </c>
      <c r="C16" t="s">
        <v>20</v>
      </c>
      <c r="D16" s="4">
        <v>385</v>
      </c>
      <c r="E16">
        <v>3840231.46</v>
      </c>
      <c r="F16">
        <v>9974.6299999999992</v>
      </c>
    </row>
    <row r="17" spans="1:6">
      <c r="A17">
        <v>2023</v>
      </c>
      <c r="B17">
        <v>8</v>
      </c>
      <c r="C17" t="s">
        <v>21</v>
      </c>
      <c r="D17" s="4">
        <v>285</v>
      </c>
      <c r="E17">
        <v>2442451.1800000002</v>
      </c>
      <c r="F17">
        <v>8570</v>
      </c>
    </row>
    <row r="18" spans="1:6">
      <c r="A18">
        <v>2023</v>
      </c>
      <c r="B18">
        <v>9</v>
      </c>
      <c r="C18" t="s">
        <v>22</v>
      </c>
      <c r="D18" s="4">
        <v>352</v>
      </c>
      <c r="E18">
        <v>3881724.19</v>
      </c>
      <c r="F18">
        <v>11027.63</v>
      </c>
    </row>
    <row r="19" spans="1:6">
      <c r="A19">
        <v>2023</v>
      </c>
      <c r="B19">
        <v>10</v>
      </c>
      <c r="C19" t="s">
        <v>23</v>
      </c>
      <c r="D19" s="4">
        <v>321</v>
      </c>
      <c r="E19">
        <v>2858060.2</v>
      </c>
      <c r="F19">
        <v>8903.61</v>
      </c>
    </row>
    <row r="20" spans="1:6">
      <c r="A20">
        <v>2023</v>
      </c>
      <c r="B20">
        <v>11</v>
      </c>
      <c r="C20" t="s">
        <v>24</v>
      </c>
      <c r="D20" s="4">
        <v>383</v>
      </c>
      <c r="E20">
        <v>2097153.13</v>
      </c>
      <c r="F20">
        <v>5475.6</v>
      </c>
    </row>
    <row r="21" spans="1:6">
      <c r="A21">
        <v>2023</v>
      </c>
      <c r="B21">
        <v>12</v>
      </c>
      <c r="C21" t="s">
        <v>25</v>
      </c>
      <c r="D21" s="4">
        <v>378</v>
      </c>
      <c r="E21">
        <v>3176848.17</v>
      </c>
      <c r="F21">
        <v>8404.36</v>
      </c>
    </row>
    <row r="22" spans="1:6">
      <c r="A22">
        <v>2024</v>
      </c>
      <c r="B22">
        <v>1</v>
      </c>
      <c r="C22" t="s">
        <v>26</v>
      </c>
      <c r="D22" s="4">
        <v>400</v>
      </c>
      <c r="E22">
        <v>2340061.5499999998</v>
      </c>
      <c r="F22">
        <v>5850.15</v>
      </c>
    </row>
    <row r="23" spans="1:6">
      <c r="A23">
        <v>2024</v>
      </c>
      <c r="B23">
        <v>2</v>
      </c>
      <c r="C23" t="s">
        <v>27</v>
      </c>
      <c r="D23" s="4">
        <v>338</v>
      </c>
      <c r="E23">
        <v>2629322.4500000002</v>
      </c>
      <c r="F23">
        <v>7779.06</v>
      </c>
    </row>
    <row r="24" spans="1:6">
      <c r="A24">
        <v>2024</v>
      </c>
      <c r="B24">
        <v>3</v>
      </c>
      <c r="C24" t="s">
        <v>28</v>
      </c>
      <c r="D24" s="4">
        <v>443</v>
      </c>
      <c r="E24">
        <v>3826046.07</v>
      </c>
      <c r="F24">
        <v>8636.67</v>
      </c>
    </row>
    <row r="25" spans="1:6">
      <c r="A25">
        <v>2024</v>
      </c>
      <c r="B25">
        <v>4</v>
      </c>
      <c r="C25" t="s">
        <v>29</v>
      </c>
      <c r="D25" s="4">
        <v>426</v>
      </c>
      <c r="E25">
        <v>2841585.78</v>
      </c>
      <c r="F25">
        <v>6670.39</v>
      </c>
    </row>
    <row r="26" spans="1:6">
      <c r="A26">
        <v>2024</v>
      </c>
      <c r="B26">
        <v>5</v>
      </c>
      <c r="C26" t="s">
        <v>30</v>
      </c>
      <c r="D26" s="4">
        <v>436</v>
      </c>
      <c r="E26">
        <v>3672137.65</v>
      </c>
      <c r="F26">
        <v>8422.33</v>
      </c>
    </row>
    <row r="27" spans="1:6">
      <c r="A27">
        <v>2024</v>
      </c>
      <c r="B27">
        <v>6</v>
      </c>
      <c r="C27" t="s">
        <v>31</v>
      </c>
      <c r="D27" s="4">
        <v>741</v>
      </c>
      <c r="E27">
        <v>5707181.0899999999</v>
      </c>
      <c r="F27">
        <v>7702</v>
      </c>
    </row>
    <row r="28" spans="1:6">
      <c r="A28">
        <v>2024</v>
      </c>
      <c r="B28">
        <v>7</v>
      </c>
      <c r="C28" t="s">
        <v>32</v>
      </c>
      <c r="D28" s="4">
        <v>1755</v>
      </c>
      <c r="E28">
        <v>5546401.0700000003</v>
      </c>
      <c r="F28">
        <v>3160.34</v>
      </c>
    </row>
    <row r="29" spans="1:6">
      <c r="A29">
        <v>2024</v>
      </c>
      <c r="B29">
        <v>8</v>
      </c>
      <c r="C29" t="s">
        <v>33</v>
      </c>
      <c r="D29" s="4">
        <v>1785</v>
      </c>
      <c r="E29">
        <v>3724394.9</v>
      </c>
      <c r="F29">
        <v>2086.5</v>
      </c>
    </row>
    <row r="30" spans="1:6">
      <c r="A30">
        <v>2024</v>
      </c>
      <c r="B30">
        <v>9</v>
      </c>
      <c r="C30" t="s">
        <v>34</v>
      </c>
      <c r="D30" s="4">
        <v>1796</v>
      </c>
      <c r="E30">
        <v>5091152.26</v>
      </c>
      <c r="F30">
        <v>2834.72</v>
      </c>
    </row>
    <row r="31" spans="1:6">
      <c r="A31">
        <v>2024</v>
      </c>
      <c r="B31">
        <v>10</v>
      </c>
      <c r="C31" t="s">
        <v>35</v>
      </c>
      <c r="D31" s="4">
        <v>1971</v>
      </c>
      <c r="E31">
        <v>5401903.75</v>
      </c>
      <c r="F31">
        <v>2740.69</v>
      </c>
    </row>
    <row r="32" spans="1:6">
      <c r="A32">
        <v>2024</v>
      </c>
      <c r="B32">
        <v>11</v>
      </c>
      <c r="C32" t="s">
        <v>36</v>
      </c>
      <c r="D32" s="4">
        <v>2100</v>
      </c>
      <c r="E32">
        <v>3671582.38</v>
      </c>
      <c r="F32">
        <v>1748.37</v>
      </c>
    </row>
    <row r="33" spans="1:6">
      <c r="A33">
        <v>2024</v>
      </c>
      <c r="B33">
        <v>12</v>
      </c>
      <c r="C33" t="s">
        <v>37</v>
      </c>
      <c r="D33" s="4">
        <v>2053</v>
      </c>
      <c r="E33">
        <v>4568717.58</v>
      </c>
      <c r="F33">
        <v>2225.39</v>
      </c>
    </row>
    <row r="34" spans="1:6">
      <c r="A34">
        <v>2025</v>
      </c>
      <c r="B34">
        <v>1</v>
      </c>
      <c r="C34" t="s">
        <v>38</v>
      </c>
      <c r="D34" s="4">
        <v>2136</v>
      </c>
      <c r="E34">
        <v>4783231.67</v>
      </c>
      <c r="F34">
        <v>2239.34</v>
      </c>
    </row>
    <row r="35" spans="1:6">
      <c r="A35">
        <v>2025</v>
      </c>
      <c r="B35">
        <v>2</v>
      </c>
      <c r="C35" t="s">
        <v>39</v>
      </c>
      <c r="D35" s="4">
        <v>1857</v>
      </c>
      <c r="E35">
        <v>3987943.62</v>
      </c>
      <c r="F35">
        <v>2147.52</v>
      </c>
    </row>
    <row r="36" spans="1:6">
      <c r="A36">
        <v>2025</v>
      </c>
      <c r="B36">
        <v>3</v>
      </c>
      <c r="C36" t="s">
        <v>40</v>
      </c>
      <c r="D36" s="4">
        <v>2304</v>
      </c>
      <c r="E36">
        <v>5585675.8099999996</v>
      </c>
      <c r="F36">
        <v>2424.34</v>
      </c>
    </row>
    <row r="37" spans="1:6">
      <c r="A37">
        <v>2025</v>
      </c>
      <c r="B37">
        <v>4</v>
      </c>
      <c r="C37" t="s">
        <v>41</v>
      </c>
      <c r="D37" s="4">
        <v>2279</v>
      </c>
      <c r="E37">
        <v>5847164.6900000004</v>
      </c>
      <c r="F37">
        <v>2565.67</v>
      </c>
    </row>
    <row r="38" spans="1:6">
      <c r="A38">
        <v>2025</v>
      </c>
      <c r="B38">
        <v>5</v>
      </c>
      <c r="C38" t="s">
        <v>42</v>
      </c>
      <c r="D38" s="4">
        <v>2218</v>
      </c>
      <c r="E38">
        <v>2108405.79</v>
      </c>
      <c r="F38">
        <v>950.59</v>
      </c>
    </row>
    <row r="39" spans="1:6">
      <c r="A39">
        <v>2025</v>
      </c>
      <c r="B39">
        <v>6</v>
      </c>
      <c r="C39" t="s">
        <v>43</v>
      </c>
      <c r="D39" s="4">
        <v>905</v>
      </c>
      <c r="E39">
        <v>52478.19</v>
      </c>
      <c r="F39">
        <v>57.99</v>
      </c>
    </row>
  </sheetData>
  <autoFilter ref="A1:F39" xr:uid="{00000000-0001-0000-0000-000000000000}"/>
  <conditionalFormatting sqref="E1:E1048576">
    <cfRule type="colorScale" priority="1">
      <colorScale>
        <cfvo type="min"/>
        <cfvo type="percentile" val="50"/>
        <cfvo type="max"/>
        <color rgb="FFF8696B"/>
        <color rgb="FFFFEB84"/>
        <color rgb="FF63BE7B"/>
      </colorScale>
    </cfRule>
    <cfRule type="colorScale" priority="3">
      <colorScale>
        <cfvo type="min"/>
        <cfvo type="max"/>
        <color rgb="FFFFEF9C"/>
        <color rgb="FF63BE7B"/>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pane ySplit="1" topLeftCell="A2" activePane="bottomLeft" state="frozen"/>
      <selection pane="bottomLeft" activeCell="D21" sqref="D21"/>
    </sheetView>
  </sheetViews>
  <sheetFormatPr defaultRowHeight="14.35"/>
  <cols>
    <col min="1" max="1" width="13.46875" bestFit="1" customWidth="1"/>
    <col min="2" max="2" width="11.41015625" bestFit="1" customWidth="1"/>
    <col min="3" max="3" width="12.29296875" bestFit="1" customWidth="1"/>
    <col min="4" max="4" width="15.1171875" bestFit="1" customWidth="1"/>
    <col min="5" max="5" width="18.29296875" bestFit="1" customWidth="1"/>
    <col min="6" max="6" width="16.5859375" bestFit="1" customWidth="1"/>
    <col min="7" max="7" width="18.8203125" bestFit="1" customWidth="1"/>
  </cols>
  <sheetData>
    <row r="1" spans="1:7">
      <c r="A1" s="1" t="s">
        <v>44</v>
      </c>
      <c r="B1" s="1" t="s">
        <v>45</v>
      </c>
      <c r="C1" s="1" t="s">
        <v>46</v>
      </c>
      <c r="D1" s="1" t="s">
        <v>3</v>
      </c>
      <c r="E1" s="1" t="s">
        <v>47</v>
      </c>
      <c r="F1" s="1" t="s">
        <v>48</v>
      </c>
      <c r="G1" s="1" t="s">
        <v>5</v>
      </c>
    </row>
    <row r="2" spans="1:7">
      <c r="A2" t="s">
        <v>49</v>
      </c>
      <c r="B2" t="s">
        <v>50</v>
      </c>
      <c r="C2" t="s">
        <v>51</v>
      </c>
      <c r="D2">
        <v>6224</v>
      </c>
      <c r="E2">
        <v>4565</v>
      </c>
      <c r="F2">
        <v>27150594.59</v>
      </c>
      <c r="G2">
        <v>4362.24</v>
      </c>
    </row>
    <row r="3" spans="1:7">
      <c r="A3" t="s">
        <v>52</v>
      </c>
      <c r="B3" t="s">
        <v>53</v>
      </c>
      <c r="C3" t="s">
        <v>51</v>
      </c>
      <c r="D3">
        <v>4067</v>
      </c>
      <c r="E3">
        <v>1677</v>
      </c>
      <c r="F3">
        <v>18398929.190000001</v>
      </c>
      <c r="G3">
        <v>4523.96</v>
      </c>
    </row>
    <row r="4" spans="1:7">
      <c r="A4" t="s">
        <v>54</v>
      </c>
      <c r="B4" t="s">
        <v>50</v>
      </c>
      <c r="C4" t="s">
        <v>51</v>
      </c>
      <c r="D4">
        <v>4594</v>
      </c>
      <c r="E4">
        <v>3428</v>
      </c>
      <c r="F4">
        <v>18061660.370000001</v>
      </c>
      <c r="G4">
        <v>3931.58</v>
      </c>
    </row>
    <row r="5" spans="1:7">
      <c r="A5" t="s">
        <v>55</v>
      </c>
      <c r="B5" t="s">
        <v>56</v>
      </c>
      <c r="C5" t="s">
        <v>57</v>
      </c>
      <c r="D5">
        <v>6843</v>
      </c>
      <c r="E5">
        <v>3625</v>
      </c>
      <c r="F5">
        <v>11814376.1</v>
      </c>
      <c r="G5">
        <v>1726.49</v>
      </c>
    </row>
    <row r="6" spans="1:7">
      <c r="A6" t="s">
        <v>58</v>
      </c>
      <c r="B6" t="s">
        <v>50</v>
      </c>
      <c r="C6" t="s">
        <v>51</v>
      </c>
      <c r="D6">
        <v>385</v>
      </c>
      <c r="E6">
        <v>69</v>
      </c>
      <c r="F6">
        <v>8913299.25</v>
      </c>
      <c r="G6">
        <v>23151.43</v>
      </c>
    </row>
    <row r="7" spans="1:7">
      <c r="A7" t="s">
        <v>59</v>
      </c>
      <c r="B7" t="s">
        <v>50</v>
      </c>
      <c r="C7" t="s">
        <v>51</v>
      </c>
      <c r="D7">
        <v>486</v>
      </c>
      <c r="E7">
        <v>91</v>
      </c>
      <c r="F7">
        <v>8884099.3699999992</v>
      </c>
      <c r="G7">
        <v>18280.04</v>
      </c>
    </row>
    <row r="8" spans="1:7">
      <c r="A8" t="s">
        <v>60</v>
      </c>
      <c r="B8" t="s">
        <v>61</v>
      </c>
      <c r="C8" t="s">
        <v>62</v>
      </c>
      <c r="D8">
        <v>3219</v>
      </c>
      <c r="E8">
        <v>1951</v>
      </c>
      <c r="F8">
        <v>8574048.7100000009</v>
      </c>
      <c r="G8">
        <v>2663.58</v>
      </c>
    </row>
    <row r="9" spans="1:7">
      <c r="A9" t="s">
        <v>63</v>
      </c>
      <c r="B9" t="s">
        <v>64</v>
      </c>
      <c r="C9" t="s">
        <v>62</v>
      </c>
      <c r="D9">
        <v>2672</v>
      </c>
      <c r="E9">
        <v>1844</v>
      </c>
      <c r="F9">
        <v>8119749.3499999996</v>
      </c>
      <c r="G9">
        <v>3038.83</v>
      </c>
    </row>
    <row r="10" spans="1:7">
      <c r="A10" t="s">
        <v>65</v>
      </c>
      <c r="B10" t="s">
        <v>50</v>
      </c>
      <c r="C10" t="s">
        <v>51</v>
      </c>
      <c r="D10">
        <v>352</v>
      </c>
      <c r="E10">
        <v>57</v>
      </c>
      <c r="F10">
        <v>7820209.6299999999</v>
      </c>
      <c r="G10">
        <v>22216.5</v>
      </c>
    </row>
    <row r="11" spans="1:7">
      <c r="A11" t="s">
        <v>66</v>
      </c>
      <c r="B11" t="s">
        <v>67</v>
      </c>
      <c r="C11" t="s">
        <v>62</v>
      </c>
      <c r="D11">
        <v>2623</v>
      </c>
      <c r="E11">
        <v>1812</v>
      </c>
      <c r="F11">
        <v>5479819.5800000001</v>
      </c>
      <c r="G11">
        <v>2089.14</v>
      </c>
    </row>
  </sheetData>
  <autoFilter ref="A1:G11" xr:uid="{00000000-0001-0000-0100-000000000000}"/>
  <conditionalFormatting sqref="F1:F1048576">
    <cfRule type="top10" dxfId="7" priority="1" bottom="1" rank="3"/>
    <cfRule type="top10" dxfId="6" priority="2" rank="3"/>
    <cfRule type="top10" priority="3" rank="3"/>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pane ySplit="1" topLeftCell="A2" activePane="bottomLeft" state="frozen"/>
      <selection pane="bottomLeft" activeCell="I9" sqref="I9"/>
    </sheetView>
  </sheetViews>
  <sheetFormatPr defaultRowHeight="14.35"/>
  <cols>
    <col min="2" max="2" width="15.05859375" bestFit="1" customWidth="1"/>
    <col min="3" max="3" width="15.1171875" bestFit="1" customWidth="1"/>
    <col min="4" max="4" width="18.17578125" bestFit="1" customWidth="1"/>
    <col min="5" max="5" width="16.5859375" bestFit="1" customWidth="1"/>
    <col min="6" max="6" width="17.17578125" bestFit="1" customWidth="1"/>
  </cols>
  <sheetData>
    <row r="1" spans="1:6">
      <c r="A1" s="1" t="s">
        <v>68</v>
      </c>
      <c r="B1" s="1" t="s">
        <v>69</v>
      </c>
      <c r="C1" s="1" t="s">
        <v>3</v>
      </c>
      <c r="D1" s="1" t="s">
        <v>70</v>
      </c>
      <c r="E1" s="1" t="s">
        <v>48</v>
      </c>
      <c r="F1" s="1" t="s">
        <v>71</v>
      </c>
    </row>
    <row r="2" spans="1:6">
      <c r="A2" t="s">
        <v>72</v>
      </c>
      <c r="B2" t="s">
        <v>73</v>
      </c>
      <c r="C2">
        <v>9538</v>
      </c>
      <c r="D2">
        <v>47196</v>
      </c>
      <c r="E2">
        <v>43909437.509999998</v>
      </c>
      <c r="F2">
        <v>1172.0999999999999</v>
      </c>
    </row>
    <row r="3" spans="1:6">
      <c r="A3" t="s">
        <v>72</v>
      </c>
      <c r="B3" t="s">
        <v>74</v>
      </c>
      <c r="C3">
        <v>6185</v>
      </c>
      <c r="D3">
        <v>28321</v>
      </c>
      <c r="E3">
        <v>36445443.939999998</v>
      </c>
      <c r="F3">
        <v>1451.21</v>
      </c>
    </row>
    <row r="4" spans="1:6">
      <c r="A4" t="s">
        <v>72</v>
      </c>
      <c r="B4" t="s">
        <v>75</v>
      </c>
      <c r="C4">
        <v>2645</v>
      </c>
      <c r="D4">
        <v>14751</v>
      </c>
      <c r="E4">
        <v>14296291.26</v>
      </c>
      <c r="F4">
        <v>1146.2</v>
      </c>
    </row>
    <row r="5" spans="1:6">
      <c r="A5" t="s">
        <v>76</v>
      </c>
      <c r="B5" t="s">
        <v>77</v>
      </c>
      <c r="C5">
        <v>861</v>
      </c>
      <c r="D5">
        <v>11621</v>
      </c>
      <c r="E5">
        <v>4713930.2300000004</v>
      </c>
      <c r="F5">
        <v>432.33</v>
      </c>
    </row>
    <row r="6" spans="1:6">
      <c r="A6" t="s">
        <v>76</v>
      </c>
      <c r="B6" t="s">
        <v>78</v>
      </c>
      <c r="C6">
        <v>1016</v>
      </c>
      <c r="D6">
        <v>11753</v>
      </c>
      <c r="E6">
        <v>3851350.6</v>
      </c>
      <c r="F6">
        <v>335.01</v>
      </c>
    </row>
    <row r="7" spans="1:6">
      <c r="A7" t="s">
        <v>76</v>
      </c>
      <c r="B7" t="s">
        <v>79</v>
      </c>
      <c r="C7">
        <v>272</v>
      </c>
      <c r="D7">
        <v>3725</v>
      </c>
      <c r="E7">
        <v>1642327.69</v>
      </c>
      <c r="F7">
        <v>425.5</v>
      </c>
    </row>
    <row r="8" spans="1:6">
      <c r="A8" t="s">
        <v>80</v>
      </c>
      <c r="B8" t="s">
        <v>81</v>
      </c>
      <c r="C8">
        <v>4781</v>
      </c>
      <c r="D8">
        <v>22711</v>
      </c>
      <c r="E8">
        <v>752259.39</v>
      </c>
      <c r="F8">
        <v>40.22</v>
      </c>
    </row>
    <row r="9" spans="1:6">
      <c r="A9" t="s">
        <v>76</v>
      </c>
      <c r="B9" t="s">
        <v>82</v>
      </c>
      <c r="C9">
        <v>720</v>
      </c>
      <c r="D9">
        <v>5273</v>
      </c>
      <c r="E9">
        <v>680831.35</v>
      </c>
      <c r="F9">
        <v>127.61</v>
      </c>
    </row>
    <row r="10" spans="1:6">
      <c r="A10" t="s">
        <v>83</v>
      </c>
      <c r="B10" t="s">
        <v>84</v>
      </c>
      <c r="C10">
        <v>7512</v>
      </c>
      <c r="D10">
        <v>19541</v>
      </c>
      <c r="E10">
        <v>484048.53</v>
      </c>
      <c r="F10">
        <v>30.57</v>
      </c>
    </row>
    <row r="11" spans="1:6">
      <c r="A11" t="s">
        <v>80</v>
      </c>
      <c r="B11" t="s">
        <v>85</v>
      </c>
      <c r="C11">
        <v>1778</v>
      </c>
      <c r="D11">
        <v>9967</v>
      </c>
      <c r="E11">
        <v>413600.51</v>
      </c>
      <c r="F11">
        <v>51.37</v>
      </c>
    </row>
    <row r="12" spans="1:6">
      <c r="A12" t="s">
        <v>80</v>
      </c>
      <c r="B12" t="s">
        <v>86</v>
      </c>
      <c r="C12">
        <v>1109</v>
      </c>
      <c r="D12">
        <v>6738</v>
      </c>
      <c r="E12">
        <v>259488.37</v>
      </c>
      <c r="F12">
        <v>47.74</v>
      </c>
    </row>
    <row r="13" spans="1:6">
      <c r="A13" t="s">
        <v>83</v>
      </c>
      <c r="B13" t="s">
        <v>87</v>
      </c>
      <c r="C13">
        <v>10030</v>
      </c>
      <c r="D13">
        <v>18006</v>
      </c>
      <c r="E13">
        <v>246454.53</v>
      </c>
      <c r="F13">
        <v>14.05</v>
      </c>
    </row>
    <row r="14" spans="1:6">
      <c r="A14" t="s">
        <v>80</v>
      </c>
      <c r="B14" t="s">
        <v>88</v>
      </c>
      <c r="C14">
        <v>2425</v>
      </c>
      <c r="D14">
        <v>13012</v>
      </c>
      <c r="E14">
        <v>243511.98</v>
      </c>
      <c r="F14">
        <v>20.58</v>
      </c>
    </row>
    <row r="15" spans="1:6">
      <c r="A15" t="s">
        <v>83</v>
      </c>
      <c r="B15" t="s">
        <v>89</v>
      </c>
      <c r="C15">
        <v>796</v>
      </c>
      <c r="D15">
        <v>3166</v>
      </c>
      <c r="E15">
        <v>237096.16</v>
      </c>
      <c r="F15">
        <v>91.46</v>
      </c>
    </row>
    <row r="16" spans="1:6">
      <c r="A16" t="s">
        <v>76</v>
      </c>
      <c r="B16" t="s">
        <v>90</v>
      </c>
      <c r="C16">
        <v>261</v>
      </c>
      <c r="D16">
        <v>1107</v>
      </c>
      <c r="E16">
        <v>203942.62</v>
      </c>
      <c r="F16">
        <v>179.76</v>
      </c>
    </row>
    <row r="17" spans="1:6">
      <c r="A17" t="s">
        <v>80</v>
      </c>
      <c r="B17" t="s">
        <v>91</v>
      </c>
      <c r="C17">
        <v>475</v>
      </c>
      <c r="D17">
        <v>4589</v>
      </c>
      <c r="E17">
        <v>203149.08</v>
      </c>
      <c r="F17">
        <v>44.88</v>
      </c>
    </row>
    <row r="18" spans="1:6">
      <c r="A18" t="s">
        <v>76</v>
      </c>
      <c r="B18" t="s">
        <v>92</v>
      </c>
      <c r="C18">
        <v>1010</v>
      </c>
      <c r="D18">
        <v>3950</v>
      </c>
      <c r="E18">
        <v>170591.32</v>
      </c>
      <c r="F18">
        <v>44.73</v>
      </c>
    </row>
    <row r="19" spans="1:6">
      <c r="A19" t="s">
        <v>80</v>
      </c>
      <c r="B19" t="s">
        <v>93</v>
      </c>
      <c r="C19">
        <v>396</v>
      </c>
      <c r="D19">
        <v>3125</v>
      </c>
      <c r="E19">
        <v>167558.62</v>
      </c>
      <c r="F19">
        <v>53.96</v>
      </c>
    </row>
    <row r="20" spans="1:6">
      <c r="A20" t="s">
        <v>76</v>
      </c>
      <c r="B20" t="s">
        <v>94</v>
      </c>
      <c r="C20">
        <v>756</v>
      </c>
      <c r="D20">
        <v>3931</v>
      </c>
      <c r="E20">
        <v>147483.91</v>
      </c>
      <c r="F20">
        <v>37.35</v>
      </c>
    </row>
    <row r="21" spans="1:6">
      <c r="A21" t="s">
        <v>83</v>
      </c>
      <c r="B21" t="s">
        <v>95</v>
      </c>
      <c r="C21">
        <v>1074</v>
      </c>
      <c r="D21">
        <v>2761</v>
      </c>
      <c r="E21">
        <v>105826.42</v>
      </c>
      <c r="F21">
        <v>47.95</v>
      </c>
    </row>
    <row r="22" spans="1:6">
      <c r="A22" t="s">
        <v>76</v>
      </c>
      <c r="B22" t="s">
        <v>96</v>
      </c>
      <c r="C22">
        <v>133</v>
      </c>
      <c r="D22">
        <v>634</v>
      </c>
      <c r="E22">
        <v>77931.69</v>
      </c>
      <c r="F22">
        <v>117.43</v>
      </c>
    </row>
    <row r="23" spans="1:6">
      <c r="A23" t="s">
        <v>76</v>
      </c>
      <c r="B23" t="s">
        <v>97</v>
      </c>
      <c r="C23">
        <v>283</v>
      </c>
      <c r="D23">
        <v>1166</v>
      </c>
      <c r="E23">
        <v>70209.5</v>
      </c>
      <c r="F23">
        <v>61.36</v>
      </c>
    </row>
    <row r="24" spans="1:6">
      <c r="A24" t="s">
        <v>76</v>
      </c>
      <c r="B24" t="s">
        <v>98</v>
      </c>
      <c r="C24">
        <v>295</v>
      </c>
      <c r="D24">
        <v>1035</v>
      </c>
      <c r="E24">
        <v>66018.710000000006</v>
      </c>
      <c r="F24">
        <v>63.88</v>
      </c>
    </row>
    <row r="25" spans="1:6">
      <c r="A25" t="s">
        <v>83</v>
      </c>
      <c r="B25" t="s">
        <v>99</v>
      </c>
      <c r="C25">
        <v>5212</v>
      </c>
      <c r="D25">
        <v>10552</v>
      </c>
      <c r="E25">
        <v>64274.79</v>
      </c>
      <c r="F25">
        <v>6.9</v>
      </c>
    </row>
    <row r="26" spans="1:6">
      <c r="A26" t="s">
        <v>76</v>
      </c>
      <c r="B26" t="s">
        <v>100</v>
      </c>
      <c r="C26">
        <v>137</v>
      </c>
      <c r="D26">
        <v>1009</v>
      </c>
      <c r="E26">
        <v>60942.2</v>
      </c>
      <c r="F26">
        <v>59.78</v>
      </c>
    </row>
    <row r="27" spans="1:6">
      <c r="A27" t="s">
        <v>76</v>
      </c>
      <c r="B27" t="s">
        <v>101</v>
      </c>
      <c r="C27">
        <v>526</v>
      </c>
      <c r="D27">
        <v>2145</v>
      </c>
      <c r="E27">
        <v>55829.39</v>
      </c>
      <c r="F27">
        <v>26.17</v>
      </c>
    </row>
    <row r="28" spans="1:6">
      <c r="A28" t="s">
        <v>76</v>
      </c>
      <c r="B28" t="s">
        <v>102</v>
      </c>
      <c r="C28">
        <v>248</v>
      </c>
      <c r="D28">
        <v>921</v>
      </c>
      <c r="E28">
        <v>51826.37</v>
      </c>
      <c r="F28">
        <v>56.39</v>
      </c>
    </row>
    <row r="29" spans="1:6">
      <c r="A29" t="s">
        <v>80</v>
      </c>
      <c r="B29" t="s">
        <v>103</v>
      </c>
      <c r="C29">
        <v>3382</v>
      </c>
      <c r="D29">
        <v>8311</v>
      </c>
      <c r="E29">
        <v>51229.45</v>
      </c>
      <c r="F29">
        <v>7.67</v>
      </c>
    </row>
    <row r="30" spans="1:6">
      <c r="A30" t="s">
        <v>83</v>
      </c>
      <c r="B30" t="s">
        <v>104</v>
      </c>
      <c r="C30">
        <v>2121</v>
      </c>
      <c r="D30">
        <v>2121</v>
      </c>
      <c r="E30">
        <v>46619.58</v>
      </c>
      <c r="F30">
        <v>21.98</v>
      </c>
    </row>
    <row r="31" spans="1:6">
      <c r="A31" t="s">
        <v>83</v>
      </c>
      <c r="B31" t="s">
        <v>105</v>
      </c>
      <c r="C31">
        <v>249</v>
      </c>
      <c r="D31">
        <v>249</v>
      </c>
      <c r="E31">
        <v>39591</v>
      </c>
      <c r="F31">
        <v>159</v>
      </c>
    </row>
    <row r="32" spans="1:6">
      <c r="A32" t="s">
        <v>80</v>
      </c>
      <c r="B32" t="s">
        <v>106</v>
      </c>
      <c r="C32">
        <v>1143</v>
      </c>
      <c r="D32">
        <v>5217</v>
      </c>
      <c r="E32">
        <v>29745.13</v>
      </c>
      <c r="F32">
        <v>6.85</v>
      </c>
    </row>
    <row r="33" spans="1:6">
      <c r="A33" t="s">
        <v>83</v>
      </c>
      <c r="B33" t="s">
        <v>107</v>
      </c>
      <c r="C33">
        <v>1327</v>
      </c>
      <c r="D33">
        <v>3319</v>
      </c>
      <c r="E33">
        <v>18406.97</v>
      </c>
      <c r="F33">
        <v>6.94</v>
      </c>
    </row>
    <row r="34" spans="1:6">
      <c r="A34" t="s">
        <v>83</v>
      </c>
      <c r="B34" t="s">
        <v>108</v>
      </c>
      <c r="C34">
        <v>260</v>
      </c>
      <c r="D34">
        <v>1087</v>
      </c>
      <c r="E34">
        <v>16240.22</v>
      </c>
      <c r="F34">
        <v>14.99</v>
      </c>
    </row>
    <row r="35" spans="1:6">
      <c r="A35" t="s">
        <v>83</v>
      </c>
      <c r="B35" t="s">
        <v>109</v>
      </c>
      <c r="C35">
        <v>267</v>
      </c>
      <c r="D35">
        <v>1130</v>
      </c>
      <c r="E35">
        <v>13514.69</v>
      </c>
      <c r="F35">
        <v>11.99</v>
      </c>
    </row>
    <row r="36" spans="1:6">
      <c r="A36" t="s">
        <v>76</v>
      </c>
      <c r="B36" t="s">
        <v>110</v>
      </c>
      <c r="C36">
        <v>250</v>
      </c>
      <c r="D36">
        <v>774</v>
      </c>
      <c r="E36">
        <v>9377.7099999999991</v>
      </c>
      <c r="F36">
        <v>12.14</v>
      </c>
    </row>
  </sheetData>
  <autoFilter ref="A1:F36" xr:uid="{00000000-0001-0000-0200-000000000000}"/>
  <conditionalFormatting sqref="E1:E1048576">
    <cfRule type="dataBar" priority="1">
      <dataBar>
        <cfvo type="min"/>
        <cfvo type="max"/>
        <color rgb="FF638EC6"/>
      </dataBar>
      <extLst>
        <ext xmlns:x14="http://schemas.microsoft.com/office/spreadsheetml/2009/9/main" uri="{B025F937-C7B1-47D3-B67F-A62EFF666E3E}">
          <x14:id>{3952AFDE-0FF6-4522-BAE4-32CDFE616D68}</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3952AFDE-0FF6-4522-BAE4-32CDFE616D68}">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1" topLeftCell="A2" activePane="bottomLeft" state="frozen"/>
      <selection pane="bottomLeft" activeCell="D2" sqref="D2"/>
    </sheetView>
  </sheetViews>
  <sheetFormatPr defaultRowHeight="14.35"/>
  <cols>
    <col min="1" max="1" width="20.234375" bestFit="1" customWidth="1"/>
    <col min="2" max="2" width="13.46875" bestFit="1" customWidth="1"/>
    <col min="3" max="3" width="15.1171875" bestFit="1" customWidth="1"/>
    <col min="4" max="4" width="16.5859375" bestFit="1" customWidth="1"/>
    <col min="5" max="5" width="18.8203125" bestFit="1" customWidth="1"/>
  </cols>
  <sheetData>
    <row r="1" spans="1:5">
      <c r="A1" s="1" t="s">
        <v>111</v>
      </c>
      <c r="B1" s="1" t="s">
        <v>44</v>
      </c>
      <c r="C1" s="1" t="s">
        <v>3</v>
      </c>
      <c r="D1" s="1" t="s">
        <v>48</v>
      </c>
      <c r="E1" s="1" t="s">
        <v>5</v>
      </c>
    </row>
    <row r="2" spans="1:5">
      <c r="A2" t="s">
        <v>112</v>
      </c>
      <c r="B2" t="s">
        <v>49</v>
      </c>
      <c r="C2">
        <v>418</v>
      </c>
      <c r="D2">
        <v>11695019.060000001</v>
      </c>
      <c r="E2">
        <v>27978.51</v>
      </c>
    </row>
    <row r="3" spans="1:5">
      <c r="A3" t="s">
        <v>113</v>
      </c>
      <c r="B3" t="s">
        <v>58</v>
      </c>
      <c r="C3">
        <v>473</v>
      </c>
      <c r="D3">
        <v>11342385.9</v>
      </c>
      <c r="E3">
        <v>23979.67</v>
      </c>
    </row>
    <row r="4" spans="1:5">
      <c r="A4" t="s">
        <v>114</v>
      </c>
      <c r="B4" t="s">
        <v>65</v>
      </c>
      <c r="C4">
        <v>450</v>
      </c>
      <c r="D4">
        <v>10475367.08</v>
      </c>
      <c r="E4">
        <v>23278.59</v>
      </c>
    </row>
    <row r="5" spans="1:5">
      <c r="A5" t="s">
        <v>115</v>
      </c>
      <c r="B5" t="s">
        <v>60</v>
      </c>
      <c r="C5">
        <v>348</v>
      </c>
      <c r="D5">
        <v>9585124.9499999993</v>
      </c>
      <c r="E5">
        <v>27543.46</v>
      </c>
    </row>
    <row r="6" spans="1:5">
      <c r="A6" t="s">
        <v>116</v>
      </c>
      <c r="B6" t="s">
        <v>59</v>
      </c>
      <c r="C6">
        <v>429</v>
      </c>
      <c r="D6">
        <v>8086073.6799999997</v>
      </c>
      <c r="E6">
        <v>18848.66</v>
      </c>
    </row>
    <row r="7" spans="1:5">
      <c r="A7" t="s">
        <v>117</v>
      </c>
      <c r="B7" t="s">
        <v>49</v>
      </c>
      <c r="C7">
        <v>242</v>
      </c>
      <c r="D7">
        <v>7259567.8799999999</v>
      </c>
      <c r="E7">
        <v>29998.21</v>
      </c>
    </row>
    <row r="8" spans="1:5">
      <c r="A8" t="s">
        <v>118</v>
      </c>
      <c r="B8" t="s">
        <v>52</v>
      </c>
      <c r="C8">
        <v>271</v>
      </c>
      <c r="D8">
        <v>6683536.6600000001</v>
      </c>
      <c r="E8">
        <v>24662.5</v>
      </c>
    </row>
    <row r="9" spans="1:5">
      <c r="A9" t="s">
        <v>119</v>
      </c>
      <c r="B9" t="s">
        <v>63</v>
      </c>
      <c r="C9">
        <v>175</v>
      </c>
      <c r="D9">
        <v>5087977.21</v>
      </c>
      <c r="E9">
        <v>29074.16</v>
      </c>
    </row>
    <row r="10" spans="1:5">
      <c r="A10" t="s">
        <v>120</v>
      </c>
      <c r="B10" t="s">
        <v>54</v>
      </c>
      <c r="C10">
        <v>189</v>
      </c>
      <c r="D10">
        <v>4207894.5999999996</v>
      </c>
      <c r="E10">
        <v>22263.99</v>
      </c>
    </row>
    <row r="11" spans="1:5">
      <c r="A11" t="s">
        <v>121</v>
      </c>
      <c r="B11" t="s">
        <v>52</v>
      </c>
      <c r="C11">
        <v>234</v>
      </c>
      <c r="D11">
        <v>4069422.21</v>
      </c>
      <c r="E11">
        <v>17390.689999999999</v>
      </c>
    </row>
    <row r="12" spans="1:5">
      <c r="A12" t="s">
        <v>122</v>
      </c>
      <c r="B12" t="s">
        <v>54</v>
      </c>
      <c r="C12">
        <v>95</v>
      </c>
      <c r="D12">
        <v>3748246.12</v>
      </c>
      <c r="E12">
        <v>39455.22</v>
      </c>
    </row>
    <row r="13" spans="1:5">
      <c r="A13" t="s">
        <v>123</v>
      </c>
      <c r="B13" t="s">
        <v>54</v>
      </c>
      <c r="C13">
        <v>140</v>
      </c>
      <c r="D13">
        <v>2608116.38</v>
      </c>
      <c r="E13">
        <v>18629.400000000001</v>
      </c>
    </row>
    <row r="14" spans="1:5">
      <c r="A14" t="s">
        <v>124</v>
      </c>
      <c r="B14" t="s">
        <v>66</v>
      </c>
      <c r="C14">
        <v>130</v>
      </c>
      <c r="D14">
        <v>2062393.14</v>
      </c>
      <c r="E14">
        <v>15864.56</v>
      </c>
    </row>
    <row r="15" spans="1:5">
      <c r="A15" t="s">
        <v>125</v>
      </c>
      <c r="B15" t="s">
        <v>55</v>
      </c>
      <c r="C15">
        <v>109</v>
      </c>
      <c r="D15">
        <v>1606441.45</v>
      </c>
      <c r="E15">
        <v>14737.99</v>
      </c>
    </row>
  </sheetData>
  <autoFilter ref="A1:E15" xr:uid="{00000000-0001-0000-0300-000000000000}">
    <sortState xmlns:xlrd2="http://schemas.microsoft.com/office/spreadsheetml/2017/richdata2" ref="A2:E15">
      <sortCondition descending="1" ref="D1:D15"/>
    </sortState>
  </autoFilter>
  <conditionalFormatting sqref="D1:D1048576">
    <cfRule type="iconSet" priority="1">
      <iconSet iconSet="3Arrows">
        <cfvo type="percent" val="0"/>
        <cfvo type="percent" val="33"/>
        <cfvo type="percent" val="67"/>
      </iconSet>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pane ySplit="1" topLeftCell="A65" activePane="bottomLeft" state="frozen"/>
      <selection pane="bottomLeft" activeCell="C8" sqref="C8"/>
    </sheetView>
  </sheetViews>
  <sheetFormatPr defaultRowHeight="14.35"/>
  <cols>
    <col min="2" max="2" width="18.8203125" bestFit="1" customWidth="1"/>
    <col min="3" max="3" width="20.76171875" bestFit="1" customWidth="1"/>
    <col min="4" max="4" width="13.46875" bestFit="1" customWidth="1"/>
    <col min="5" max="5" width="15.1171875" bestFit="1" customWidth="1"/>
    <col min="6" max="6" width="14.3515625" bestFit="1" customWidth="1"/>
    <col min="7" max="7" width="18.8203125" bestFit="1" customWidth="1"/>
    <col min="8" max="8" width="13.76171875" bestFit="1" customWidth="1"/>
    <col min="9" max="9" width="13.41015625" bestFit="1" customWidth="1"/>
  </cols>
  <sheetData>
    <row r="1" spans="1:9">
      <c r="A1" s="1" t="s">
        <v>126</v>
      </c>
      <c r="B1" s="1" t="s">
        <v>127</v>
      </c>
      <c r="C1" s="1" t="s">
        <v>128</v>
      </c>
      <c r="D1" s="1" t="s">
        <v>44</v>
      </c>
      <c r="E1" s="1" t="s">
        <v>3</v>
      </c>
      <c r="F1" s="1" t="s">
        <v>129</v>
      </c>
      <c r="G1" s="1" t="s">
        <v>5</v>
      </c>
      <c r="H1" s="1" t="s">
        <v>130</v>
      </c>
      <c r="I1" s="1" t="s">
        <v>131</v>
      </c>
    </row>
    <row r="2" spans="1:9">
      <c r="A2">
        <v>29818</v>
      </c>
      <c r="B2" t="s">
        <v>132</v>
      </c>
      <c r="C2" t="s">
        <v>133</v>
      </c>
      <c r="D2" t="s">
        <v>54</v>
      </c>
      <c r="E2">
        <v>12</v>
      </c>
      <c r="F2">
        <v>989184.08</v>
      </c>
      <c r="G2">
        <v>82432.009999999995</v>
      </c>
      <c r="H2" s="2">
        <v>44742</v>
      </c>
      <c r="I2" s="2">
        <v>45746</v>
      </c>
    </row>
    <row r="3" spans="1:9">
      <c r="A3">
        <v>29715</v>
      </c>
      <c r="B3" t="s">
        <v>134</v>
      </c>
      <c r="C3" t="s">
        <v>133</v>
      </c>
      <c r="D3" t="s">
        <v>59</v>
      </c>
      <c r="E3">
        <v>12</v>
      </c>
      <c r="F3">
        <v>961675.86</v>
      </c>
      <c r="G3">
        <v>80139.649999999994</v>
      </c>
      <c r="H3" s="2">
        <v>44773</v>
      </c>
      <c r="I3" s="2">
        <v>45777</v>
      </c>
    </row>
    <row r="4" spans="1:9">
      <c r="A4">
        <v>29722</v>
      </c>
      <c r="B4" t="s">
        <v>135</v>
      </c>
      <c r="C4" t="s">
        <v>133</v>
      </c>
      <c r="D4" t="s">
        <v>52</v>
      </c>
      <c r="E4">
        <v>12</v>
      </c>
      <c r="F4">
        <v>954021.92</v>
      </c>
      <c r="G4">
        <v>79501.83</v>
      </c>
      <c r="H4" s="2">
        <v>44773</v>
      </c>
      <c r="I4" s="2">
        <v>45777</v>
      </c>
    </row>
    <row r="5" spans="1:9">
      <c r="A5">
        <v>30117</v>
      </c>
      <c r="B5" t="s">
        <v>136</v>
      </c>
      <c r="C5" t="s">
        <v>133</v>
      </c>
      <c r="D5" t="s">
        <v>49</v>
      </c>
      <c r="E5">
        <v>12</v>
      </c>
      <c r="F5">
        <v>919801.82</v>
      </c>
      <c r="G5">
        <v>76650.149999999994</v>
      </c>
      <c r="H5" s="2">
        <v>44742</v>
      </c>
      <c r="I5" s="2">
        <v>45746</v>
      </c>
    </row>
    <row r="6" spans="1:9">
      <c r="A6">
        <v>29614</v>
      </c>
      <c r="B6" t="s">
        <v>137</v>
      </c>
      <c r="C6" t="s">
        <v>133</v>
      </c>
      <c r="D6" t="s">
        <v>52</v>
      </c>
      <c r="E6">
        <v>12</v>
      </c>
      <c r="F6">
        <v>901346.86</v>
      </c>
      <c r="G6">
        <v>75112.240000000005</v>
      </c>
      <c r="H6" s="2">
        <v>44711</v>
      </c>
      <c r="I6" s="2">
        <v>45716</v>
      </c>
    </row>
    <row r="7" spans="1:9">
      <c r="A7">
        <v>29639</v>
      </c>
      <c r="B7" t="s">
        <v>138</v>
      </c>
      <c r="C7" t="s">
        <v>133</v>
      </c>
      <c r="D7" t="s">
        <v>52</v>
      </c>
      <c r="E7">
        <v>12</v>
      </c>
      <c r="F7">
        <v>887090.41</v>
      </c>
      <c r="G7">
        <v>73924.2</v>
      </c>
      <c r="H7" s="2">
        <v>44773</v>
      </c>
      <c r="I7" s="2">
        <v>45777</v>
      </c>
    </row>
    <row r="8" spans="1:9">
      <c r="A8">
        <v>29701</v>
      </c>
      <c r="B8" t="s">
        <v>139</v>
      </c>
      <c r="C8" t="s">
        <v>133</v>
      </c>
      <c r="D8" t="s">
        <v>65</v>
      </c>
      <c r="E8">
        <v>8</v>
      </c>
      <c r="F8">
        <v>841866.55</v>
      </c>
      <c r="G8">
        <v>105233.32</v>
      </c>
      <c r="H8" s="2">
        <v>45138</v>
      </c>
      <c r="I8" s="2">
        <v>45777</v>
      </c>
    </row>
    <row r="9" spans="1:9">
      <c r="A9">
        <v>29617</v>
      </c>
      <c r="B9" t="s">
        <v>140</v>
      </c>
      <c r="C9" t="s">
        <v>133</v>
      </c>
      <c r="D9" t="s">
        <v>54</v>
      </c>
      <c r="E9">
        <v>12</v>
      </c>
      <c r="F9">
        <v>834475.93</v>
      </c>
      <c r="G9">
        <v>69539.66</v>
      </c>
      <c r="H9" s="2">
        <v>44742</v>
      </c>
      <c r="I9" s="2">
        <v>45746</v>
      </c>
    </row>
    <row r="10" spans="1:9">
      <c r="A10">
        <v>29994</v>
      </c>
      <c r="B10" t="s">
        <v>141</v>
      </c>
      <c r="C10" t="s">
        <v>133</v>
      </c>
      <c r="D10" t="s">
        <v>52</v>
      </c>
      <c r="E10">
        <v>12</v>
      </c>
      <c r="F10">
        <v>824331.77</v>
      </c>
      <c r="G10">
        <v>68694.31</v>
      </c>
      <c r="H10" s="2">
        <v>44711</v>
      </c>
      <c r="I10" s="2">
        <v>45716</v>
      </c>
    </row>
    <row r="11" spans="1:9">
      <c r="A11">
        <v>29646</v>
      </c>
      <c r="B11" t="s">
        <v>142</v>
      </c>
      <c r="C11" t="s">
        <v>133</v>
      </c>
      <c r="D11" t="s">
        <v>49</v>
      </c>
      <c r="E11">
        <v>12</v>
      </c>
      <c r="F11">
        <v>820383.55</v>
      </c>
      <c r="G11">
        <v>68365.3</v>
      </c>
      <c r="H11" s="2">
        <v>44711</v>
      </c>
      <c r="I11" s="2">
        <v>45716</v>
      </c>
    </row>
    <row r="12" spans="1:9">
      <c r="A12">
        <v>29580</v>
      </c>
      <c r="B12" t="s">
        <v>143</v>
      </c>
      <c r="C12" t="s">
        <v>133</v>
      </c>
      <c r="D12" t="s">
        <v>54</v>
      </c>
      <c r="E12">
        <v>12</v>
      </c>
      <c r="F12">
        <v>815914.25</v>
      </c>
      <c r="G12">
        <v>67992.850000000006</v>
      </c>
      <c r="H12" s="2">
        <v>44711</v>
      </c>
      <c r="I12" s="2">
        <v>45716</v>
      </c>
    </row>
    <row r="13" spans="1:9">
      <c r="A13">
        <v>29827</v>
      </c>
      <c r="B13" t="s">
        <v>144</v>
      </c>
      <c r="C13" t="s">
        <v>133</v>
      </c>
      <c r="D13" t="s">
        <v>58</v>
      </c>
      <c r="E13">
        <v>12</v>
      </c>
      <c r="F13">
        <v>801766.21</v>
      </c>
      <c r="G13">
        <v>66813.850000000006</v>
      </c>
      <c r="H13" s="2">
        <v>44711</v>
      </c>
      <c r="I13" s="2">
        <v>45716</v>
      </c>
    </row>
    <row r="14" spans="1:9">
      <c r="A14">
        <v>29497</v>
      </c>
      <c r="B14" t="s">
        <v>145</v>
      </c>
      <c r="C14" t="s">
        <v>133</v>
      </c>
      <c r="D14" t="s">
        <v>54</v>
      </c>
      <c r="E14">
        <v>12</v>
      </c>
      <c r="F14">
        <v>789884.29</v>
      </c>
      <c r="G14">
        <v>65823.69</v>
      </c>
      <c r="H14" s="2">
        <v>44711</v>
      </c>
      <c r="I14" s="2">
        <v>45716</v>
      </c>
    </row>
    <row r="15" spans="1:9">
      <c r="A15">
        <v>29716</v>
      </c>
      <c r="B15" t="s">
        <v>146</v>
      </c>
      <c r="C15" t="s">
        <v>133</v>
      </c>
      <c r="D15" t="s">
        <v>49</v>
      </c>
      <c r="E15">
        <v>12</v>
      </c>
      <c r="F15">
        <v>781073.72</v>
      </c>
      <c r="G15">
        <v>65089.48</v>
      </c>
      <c r="H15" s="2">
        <v>44742</v>
      </c>
      <c r="I15" s="2">
        <v>45746</v>
      </c>
    </row>
    <row r="16" spans="1:9">
      <c r="A16">
        <v>29913</v>
      </c>
      <c r="B16" t="s">
        <v>147</v>
      </c>
      <c r="C16" t="s">
        <v>133</v>
      </c>
      <c r="D16" t="s">
        <v>58</v>
      </c>
      <c r="E16">
        <v>8</v>
      </c>
      <c r="F16">
        <v>757449.68</v>
      </c>
      <c r="G16">
        <v>94681.21</v>
      </c>
      <c r="H16" s="2">
        <v>45107</v>
      </c>
      <c r="I16" s="2">
        <v>45746</v>
      </c>
    </row>
    <row r="17" spans="1:9">
      <c r="A17">
        <v>30103</v>
      </c>
      <c r="B17" t="s">
        <v>148</v>
      </c>
      <c r="C17" t="s">
        <v>133</v>
      </c>
      <c r="D17" t="s">
        <v>63</v>
      </c>
      <c r="E17">
        <v>8</v>
      </c>
      <c r="F17">
        <v>725867.17</v>
      </c>
      <c r="G17">
        <v>90733.4</v>
      </c>
      <c r="H17" s="2">
        <v>45107</v>
      </c>
      <c r="I17" s="2">
        <v>45746</v>
      </c>
    </row>
    <row r="18" spans="1:9">
      <c r="A18">
        <v>29957</v>
      </c>
      <c r="B18" t="s">
        <v>149</v>
      </c>
      <c r="C18" t="s">
        <v>133</v>
      </c>
      <c r="D18" t="s">
        <v>49</v>
      </c>
      <c r="E18">
        <v>8</v>
      </c>
      <c r="F18">
        <v>718258.81</v>
      </c>
      <c r="G18">
        <v>89782.35</v>
      </c>
      <c r="H18" s="2">
        <v>45138</v>
      </c>
      <c r="I18" s="2">
        <v>45777</v>
      </c>
    </row>
    <row r="19" spans="1:9">
      <c r="A19">
        <v>29523</v>
      </c>
      <c r="B19" t="s">
        <v>150</v>
      </c>
      <c r="C19" t="s">
        <v>133</v>
      </c>
      <c r="D19" t="s">
        <v>49</v>
      </c>
      <c r="E19">
        <v>12</v>
      </c>
      <c r="F19">
        <v>696703.61</v>
      </c>
      <c r="G19">
        <v>58058.63</v>
      </c>
      <c r="H19" s="2">
        <v>44742</v>
      </c>
      <c r="I19" s="2">
        <v>45746</v>
      </c>
    </row>
    <row r="20" spans="1:9">
      <c r="A20">
        <v>29616</v>
      </c>
      <c r="B20" t="s">
        <v>151</v>
      </c>
      <c r="C20" t="s">
        <v>133</v>
      </c>
      <c r="D20" t="s">
        <v>49</v>
      </c>
      <c r="E20">
        <v>8</v>
      </c>
      <c r="F20">
        <v>695242.23</v>
      </c>
      <c r="G20">
        <v>86905.279999999999</v>
      </c>
      <c r="H20" s="2">
        <v>45107</v>
      </c>
      <c r="I20" s="2">
        <v>45746</v>
      </c>
    </row>
    <row r="21" spans="1:9">
      <c r="A21">
        <v>30048</v>
      </c>
      <c r="B21" t="s">
        <v>152</v>
      </c>
      <c r="C21" t="s">
        <v>133</v>
      </c>
      <c r="D21" t="s">
        <v>52</v>
      </c>
      <c r="E21">
        <v>8</v>
      </c>
      <c r="F21">
        <v>678828.84</v>
      </c>
      <c r="G21">
        <v>84853.6</v>
      </c>
      <c r="H21" s="2">
        <v>45076</v>
      </c>
      <c r="I21" s="2">
        <v>45716</v>
      </c>
    </row>
    <row r="22" spans="1:9">
      <c r="A22">
        <v>29562</v>
      </c>
      <c r="B22" t="s">
        <v>153</v>
      </c>
      <c r="C22" t="s">
        <v>133</v>
      </c>
      <c r="D22" t="s">
        <v>49</v>
      </c>
      <c r="E22">
        <v>8</v>
      </c>
      <c r="F22">
        <v>665292.38</v>
      </c>
      <c r="G22">
        <v>83161.55</v>
      </c>
      <c r="H22" s="2">
        <v>44773</v>
      </c>
      <c r="I22" s="2">
        <v>45411</v>
      </c>
    </row>
    <row r="23" spans="1:9">
      <c r="A23">
        <v>29772</v>
      </c>
      <c r="B23" t="s">
        <v>154</v>
      </c>
      <c r="C23" t="s">
        <v>133</v>
      </c>
      <c r="D23" t="s">
        <v>49</v>
      </c>
      <c r="E23">
        <v>8</v>
      </c>
      <c r="F23">
        <v>660645.93999999994</v>
      </c>
      <c r="G23">
        <v>82580.740000000005</v>
      </c>
      <c r="H23" s="2">
        <v>45076</v>
      </c>
      <c r="I23" s="2">
        <v>45716</v>
      </c>
    </row>
    <row r="24" spans="1:9">
      <c r="A24">
        <v>29712</v>
      </c>
      <c r="B24" t="s">
        <v>155</v>
      </c>
      <c r="C24" t="s">
        <v>133</v>
      </c>
      <c r="D24" t="s">
        <v>63</v>
      </c>
      <c r="E24">
        <v>8</v>
      </c>
      <c r="F24">
        <v>653973.76000000001</v>
      </c>
      <c r="G24">
        <v>81746.720000000001</v>
      </c>
      <c r="H24" s="2">
        <v>45107</v>
      </c>
      <c r="I24" s="2">
        <v>45746</v>
      </c>
    </row>
    <row r="25" spans="1:9">
      <c r="A25">
        <v>30107</v>
      </c>
      <c r="B25" t="s">
        <v>156</v>
      </c>
      <c r="C25" t="s">
        <v>133</v>
      </c>
      <c r="D25" t="s">
        <v>54</v>
      </c>
      <c r="E25">
        <v>12</v>
      </c>
      <c r="F25">
        <v>650362.05000000005</v>
      </c>
      <c r="G25">
        <v>54196.84</v>
      </c>
      <c r="H25" s="2">
        <v>44742</v>
      </c>
      <c r="I25" s="2">
        <v>45746</v>
      </c>
    </row>
    <row r="26" spans="1:9">
      <c r="A26">
        <v>29924</v>
      </c>
      <c r="B26" t="s">
        <v>157</v>
      </c>
      <c r="C26" t="s">
        <v>133</v>
      </c>
      <c r="D26" t="s">
        <v>58</v>
      </c>
      <c r="E26">
        <v>8</v>
      </c>
      <c r="F26">
        <v>644168.16</v>
      </c>
      <c r="G26">
        <v>80521.02</v>
      </c>
      <c r="H26" s="2">
        <v>45107</v>
      </c>
      <c r="I26" s="2">
        <v>45746</v>
      </c>
    </row>
    <row r="27" spans="1:9">
      <c r="A27">
        <v>30050</v>
      </c>
      <c r="B27" t="s">
        <v>158</v>
      </c>
      <c r="C27" t="s">
        <v>133</v>
      </c>
      <c r="D27" t="s">
        <v>60</v>
      </c>
      <c r="E27">
        <v>8</v>
      </c>
      <c r="F27">
        <v>631355.06999999995</v>
      </c>
      <c r="G27">
        <v>78919.38</v>
      </c>
      <c r="H27" s="2">
        <v>45138</v>
      </c>
      <c r="I27" s="2">
        <v>45777</v>
      </c>
    </row>
    <row r="28" spans="1:9">
      <c r="A28">
        <v>29641</v>
      </c>
      <c r="B28" t="s">
        <v>159</v>
      </c>
      <c r="C28" t="s">
        <v>133</v>
      </c>
      <c r="D28" t="s">
        <v>49</v>
      </c>
      <c r="E28">
        <v>4</v>
      </c>
      <c r="F28">
        <v>606819.61</v>
      </c>
      <c r="G28">
        <v>151704.9</v>
      </c>
      <c r="H28" s="2">
        <v>45441</v>
      </c>
      <c r="I28" s="2">
        <v>45716</v>
      </c>
    </row>
    <row r="29" spans="1:9">
      <c r="A29">
        <v>29966</v>
      </c>
      <c r="B29" t="s">
        <v>160</v>
      </c>
      <c r="C29" t="s">
        <v>133</v>
      </c>
      <c r="D29" t="s">
        <v>65</v>
      </c>
      <c r="E29">
        <v>12</v>
      </c>
      <c r="F29">
        <v>605358.54</v>
      </c>
      <c r="G29">
        <v>50446.55</v>
      </c>
      <c r="H29" s="2">
        <v>44773</v>
      </c>
      <c r="I29" s="2">
        <v>45777</v>
      </c>
    </row>
    <row r="30" spans="1:9">
      <c r="A30">
        <v>29997</v>
      </c>
      <c r="B30" t="s">
        <v>161</v>
      </c>
      <c r="C30" t="s">
        <v>133</v>
      </c>
      <c r="D30" t="s">
        <v>54</v>
      </c>
      <c r="E30">
        <v>8</v>
      </c>
      <c r="F30">
        <v>604794.78</v>
      </c>
      <c r="G30">
        <v>75599.350000000006</v>
      </c>
      <c r="H30" s="2">
        <v>45107</v>
      </c>
      <c r="I30" s="2">
        <v>45746</v>
      </c>
    </row>
    <row r="31" spans="1:9">
      <c r="A31">
        <v>29689</v>
      </c>
      <c r="B31" t="s">
        <v>162</v>
      </c>
      <c r="C31" t="s">
        <v>133</v>
      </c>
      <c r="D31" t="s">
        <v>54</v>
      </c>
      <c r="E31">
        <v>8</v>
      </c>
      <c r="F31">
        <v>600077.27</v>
      </c>
      <c r="G31">
        <v>75009.66</v>
      </c>
      <c r="H31" s="2">
        <v>45076</v>
      </c>
      <c r="I31" s="2">
        <v>45716</v>
      </c>
    </row>
    <row r="32" spans="1:9">
      <c r="A32">
        <v>29486</v>
      </c>
      <c r="B32" t="s">
        <v>163</v>
      </c>
      <c r="C32" t="s">
        <v>133</v>
      </c>
      <c r="D32" t="s">
        <v>58</v>
      </c>
      <c r="E32">
        <v>12</v>
      </c>
      <c r="F32">
        <v>584949.13</v>
      </c>
      <c r="G32">
        <v>48745.760000000002</v>
      </c>
      <c r="H32" s="2">
        <v>44773</v>
      </c>
      <c r="I32" s="2">
        <v>45777</v>
      </c>
    </row>
    <row r="33" spans="1:9">
      <c r="A33">
        <v>29522</v>
      </c>
      <c r="B33" t="s">
        <v>164</v>
      </c>
      <c r="C33" t="s">
        <v>133</v>
      </c>
      <c r="D33" t="s">
        <v>49</v>
      </c>
      <c r="E33">
        <v>12</v>
      </c>
      <c r="F33">
        <v>554388.93999999994</v>
      </c>
      <c r="G33">
        <v>46199.08</v>
      </c>
      <c r="H33" s="2">
        <v>44742</v>
      </c>
      <c r="I33" s="2">
        <v>45746</v>
      </c>
    </row>
    <row r="34" spans="1:9">
      <c r="A34">
        <v>29705</v>
      </c>
      <c r="B34" t="s">
        <v>165</v>
      </c>
      <c r="C34" t="s">
        <v>133</v>
      </c>
      <c r="D34" t="s">
        <v>52</v>
      </c>
      <c r="E34">
        <v>12</v>
      </c>
      <c r="F34">
        <v>543440.59</v>
      </c>
      <c r="G34">
        <v>45286.720000000001</v>
      </c>
      <c r="H34" s="2">
        <v>44742</v>
      </c>
      <c r="I34" s="2">
        <v>45746</v>
      </c>
    </row>
    <row r="35" spans="1:9">
      <c r="A35">
        <v>30112</v>
      </c>
      <c r="B35" t="s">
        <v>166</v>
      </c>
      <c r="C35" t="s">
        <v>133</v>
      </c>
      <c r="D35" t="s">
        <v>54</v>
      </c>
      <c r="E35">
        <v>8</v>
      </c>
      <c r="F35">
        <v>538333.47</v>
      </c>
      <c r="G35">
        <v>67291.679999999993</v>
      </c>
      <c r="H35" s="2">
        <v>45107</v>
      </c>
      <c r="I35" s="2">
        <v>45746</v>
      </c>
    </row>
    <row r="36" spans="1:9">
      <c r="A36">
        <v>29546</v>
      </c>
      <c r="B36" t="s">
        <v>167</v>
      </c>
      <c r="C36" t="s">
        <v>133</v>
      </c>
      <c r="D36" t="s">
        <v>60</v>
      </c>
      <c r="E36">
        <v>8</v>
      </c>
      <c r="F36">
        <v>534117.56000000006</v>
      </c>
      <c r="G36">
        <v>66764.7</v>
      </c>
      <c r="H36" s="2">
        <v>45138</v>
      </c>
      <c r="I36" s="2">
        <v>45777</v>
      </c>
    </row>
    <row r="37" spans="1:9">
      <c r="A37">
        <v>30000</v>
      </c>
      <c r="B37" t="s">
        <v>168</v>
      </c>
      <c r="C37" t="s">
        <v>133</v>
      </c>
      <c r="D37" t="s">
        <v>52</v>
      </c>
      <c r="E37">
        <v>8</v>
      </c>
      <c r="F37">
        <v>533078.28</v>
      </c>
      <c r="G37">
        <v>66634.789999999994</v>
      </c>
      <c r="H37" s="2">
        <v>45076</v>
      </c>
      <c r="I37" s="2">
        <v>45716</v>
      </c>
    </row>
    <row r="38" spans="1:9">
      <c r="A38">
        <v>30074</v>
      </c>
      <c r="B38" t="s">
        <v>169</v>
      </c>
      <c r="C38" t="s">
        <v>133</v>
      </c>
      <c r="D38" t="s">
        <v>52</v>
      </c>
      <c r="E38">
        <v>8</v>
      </c>
      <c r="F38">
        <v>516254.8</v>
      </c>
      <c r="G38">
        <v>64531.85</v>
      </c>
      <c r="H38" s="2">
        <v>44742</v>
      </c>
      <c r="I38" s="2">
        <v>45380</v>
      </c>
    </row>
    <row r="39" spans="1:9">
      <c r="A39">
        <v>29919</v>
      </c>
      <c r="B39" t="s">
        <v>170</v>
      </c>
      <c r="C39" t="s">
        <v>133</v>
      </c>
      <c r="D39" t="s">
        <v>49</v>
      </c>
      <c r="E39">
        <v>8</v>
      </c>
      <c r="F39">
        <v>514317.53</v>
      </c>
      <c r="G39">
        <v>64289.69</v>
      </c>
      <c r="H39" s="2">
        <v>45107</v>
      </c>
      <c r="I39" s="2">
        <v>45746</v>
      </c>
    </row>
    <row r="40" spans="1:9">
      <c r="A40">
        <v>29507</v>
      </c>
      <c r="B40" t="s">
        <v>171</v>
      </c>
      <c r="C40" t="s">
        <v>133</v>
      </c>
      <c r="D40" t="s">
        <v>59</v>
      </c>
      <c r="E40">
        <v>8</v>
      </c>
      <c r="F40">
        <v>502367.04</v>
      </c>
      <c r="G40">
        <v>62795.88</v>
      </c>
      <c r="H40" s="2">
        <v>44742</v>
      </c>
      <c r="I40" s="2">
        <v>45380</v>
      </c>
    </row>
    <row r="41" spans="1:9">
      <c r="A41">
        <v>29770</v>
      </c>
      <c r="B41" t="s">
        <v>172</v>
      </c>
      <c r="C41" t="s">
        <v>133</v>
      </c>
      <c r="D41" t="s">
        <v>52</v>
      </c>
      <c r="E41">
        <v>8</v>
      </c>
      <c r="F41">
        <v>500181.73</v>
      </c>
      <c r="G41">
        <v>62522.720000000001</v>
      </c>
      <c r="H41" s="2">
        <v>45138</v>
      </c>
      <c r="I41" s="2">
        <v>45777</v>
      </c>
    </row>
    <row r="42" spans="1:9">
      <c r="A42">
        <v>29559</v>
      </c>
      <c r="B42" t="s">
        <v>173</v>
      </c>
      <c r="C42" t="s">
        <v>133</v>
      </c>
      <c r="D42" t="s">
        <v>54</v>
      </c>
      <c r="E42">
        <v>8</v>
      </c>
      <c r="F42">
        <v>499815.31</v>
      </c>
      <c r="G42">
        <v>62476.91</v>
      </c>
      <c r="H42" s="2">
        <v>45138</v>
      </c>
      <c r="I42" s="2">
        <v>45777</v>
      </c>
    </row>
    <row r="43" spans="1:9">
      <c r="A43">
        <v>29923</v>
      </c>
      <c r="B43" t="s">
        <v>174</v>
      </c>
      <c r="C43" t="s">
        <v>133</v>
      </c>
      <c r="D43" t="s">
        <v>63</v>
      </c>
      <c r="E43">
        <v>4</v>
      </c>
      <c r="F43">
        <v>493816.88</v>
      </c>
      <c r="G43">
        <v>123454.22</v>
      </c>
      <c r="H43" s="2">
        <v>45472</v>
      </c>
      <c r="I43" s="2">
        <v>45746</v>
      </c>
    </row>
    <row r="44" spans="1:9">
      <c r="A44">
        <v>29624</v>
      </c>
      <c r="B44" t="s">
        <v>175</v>
      </c>
      <c r="C44" t="s">
        <v>133</v>
      </c>
      <c r="D44" t="s">
        <v>59</v>
      </c>
      <c r="E44">
        <v>4</v>
      </c>
      <c r="F44">
        <v>486937.59</v>
      </c>
      <c r="G44">
        <v>121734.39999999999</v>
      </c>
      <c r="H44" s="2">
        <v>44742</v>
      </c>
      <c r="I44" s="2">
        <v>45015</v>
      </c>
    </row>
    <row r="45" spans="1:9">
      <c r="A45">
        <v>29992</v>
      </c>
      <c r="B45" t="s">
        <v>176</v>
      </c>
      <c r="C45" t="s">
        <v>133</v>
      </c>
      <c r="D45" t="s">
        <v>49</v>
      </c>
      <c r="E45">
        <v>12</v>
      </c>
      <c r="F45">
        <v>483162.61</v>
      </c>
      <c r="G45">
        <v>40263.550000000003</v>
      </c>
      <c r="H45" s="2">
        <v>44711</v>
      </c>
      <c r="I45" s="2">
        <v>45716</v>
      </c>
    </row>
    <row r="46" spans="1:9">
      <c r="A46">
        <v>29901</v>
      </c>
      <c r="B46" t="s">
        <v>177</v>
      </c>
      <c r="C46" t="s">
        <v>133</v>
      </c>
      <c r="D46" t="s">
        <v>49</v>
      </c>
      <c r="E46">
        <v>12</v>
      </c>
      <c r="F46">
        <v>481860.91</v>
      </c>
      <c r="G46">
        <v>40155.08</v>
      </c>
      <c r="H46" s="2">
        <v>44742</v>
      </c>
      <c r="I46" s="2">
        <v>45746</v>
      </c>
    </row>
    <row r="47" spans="1:9">
      <c r="A47">
        <v>29834</v>
      </c>
      <c r="B47" t="s">
        <v>178</v>
      </c>
      <c r="C47" t="s">
        <v>133</v>
      </c>
      <c r="D47" t="s">
        <v>49</v>
      </c>
      <c r="E47">
        <v>12</v>
      </c>
      <c r="F47">
        <v>481357.92</v>
      </c>
      <c r="G47">
        <v>40113.160000000003</v>
      </c>
      <c r="H47" s="2">
        <v>44773</v>
      </c>
      <c r="I47" s="2">
        <v>45777</v>
      </c>
    </row>
    <row r="48" spans="1:9">
      <c r="A48">
        <v>29825</v>
      </c>
      <c r="B48" t="s">
        <v>179</v>
      </c>
      <c r="C48" t="s">
        <v>133</v>
      </c>
      <c r="D48" t="s">
        <v>59</v>
      </c>
      <c r="E48">
        <v>12</v>
      </c>
      <c r="F48">
        <v>475892.04</v>
      </c>
      <c r="G48">
        <v>39657.67</v>
      </c>
      <c r="H48" s="2">
        <v>44711</v>
      </c>
      <c r="I48" s="2">
        <v>45716</v>
      </c>
    </row>
    <row r="49" spans="1:9">
      <c r="A49">
        <v>30046</v>
      </c>
      <c r="B49" t="s">
        <v>180</v>
      </c>
      <c r="C49" t="s">
        <v>133</v>
      </c>
      <c r="D49" t="s">
        <v>49</v>
      </c>
      <c r="E49">
        <v>8</v>
      </c>
      <c r="F49">
        <v>471689.92</v>
      </c>
      <c r="G49">
        <v>58961.24</v>
      </c>
      <c r="H49" s="2">
        <v>45138</v>
      </c>
      <c r="I49" s="2">
        <v>45777</v>
      </c>
    </row>
    <row r="50" spans="1:9">
      <c r="A50">
        <v>29690</v>
      </c>
      <c r="B50" t="s">
        <v>181</v>
      </c>
      <c r="C50" t="s">
        <v>133</v>
      </c>
      <c r="D50" t="s">
        <v>54</v>
      </c>
      <c r="E50">
        <v>12</v>
      </c>
      <c r="F50">
        <v>470639.55</v>
      </c>
      <c r="G50">
        <v>39219.96</v>
      </c>
      <c r="H50" s="2">
        <v>44773</v>
      </c>
      <c r="I50" s="2">
        <v>45777</v>
      </c>
    </row>
    <row r="51" spans="1:9">
      <c r="A51">
        <v>29707</v>
      </c>
      <c r="B51" t="s">
        <v>182</v>
      </c>
      <c r="C51" t="s">
        <v>133</v>
      </c>
      <c r="D51" t="s">
        <v>59</v>
      </c>
      <c r="E51">
        <v>8</v>
      </c>
      <c r="F51">
        <v>469525.75</v>
      </c>
      <c r="G51">
        <v>58690.720000000001</v>
      </c>
      <c r="H51" s="2">
        <v>45138</v>
      </c>
      <c r="I51" s="2">
        <v>45777</v>
      </c>
    </row>
    <row r="52" spans="1:9">
      <c r="A52">
        <v>29734</v>
      </c>
      <c r="B52" t="s">
        <v>183</v>
      </c>
      <c r="C52" t="s">
        <v>133</v>
      </c>
      <c r="D52" t="s">
        <v>52</v>
      </c>
      <c r="E52">
        <v>12</v>
      </c>
      <c r="F52">
        <v>469357.29</v>
      </c>
      <c r="G52">
        <v>39113.11</v>
      </c>
      <c r="H52" s="2">
        <v>44711</v>
      </c>
      <c r="I52" s="2">
        <v>45716</v>
      </c>
    </row>
    <row r="53" spans="1:9">
      <c r="A53">
        <v>29703</v>
      </c>
      <c r="B53" t="s">
        <v>184</v>
      </c>
      <c r="C53" t="s">
        <v>133</v>
      </c>
      <c r="D53" t="s">
        <v>49</v>
      </c>
      <c r="E53">
        <v>8</v>
      </c>
      <c r="F53">
        <v>465429.57</v>
      </c>
      <c r="G53">
        <v>58178.7</v>
      </c>
      <c r="H53" s="2">
        <v>44742</v>
      </c>
      <c r="I53" s="2">
        <v>45380</v>
      </c>
    </row>
    <row r="54" spans="1:9">
      <c r="A54">
        <v>30049</v>
      </c>
      <c r="B54" t="s">
        <v>185</v>
      </c>
      <c r="C54" t="s">
        <v>133</v>
      </c>
      <c r="D54" t="s">
        <v>63</v>
      </c>
      <c r="E54">
        <v>8</v>
      </c>
      <c r="F54">
        <v>461467.32</v>
      </c>
      <c r="G54">
        <v>57683.41</v>
      </c>
      <c r="H54" s="2">
        <v>45138</v>
      </c>
      <c r="I54" s="2">
        <v>45777</v>
      </c>
    </row>
    <row r="55" spans="1:9">
      <c r="A55">
        <v>29861</v>
      </c>
      <c r="B55" t="s">
        <v>186</v>
      </c>
      <c r="C55" t="s">
        <v>133</v>
      </c>
      <c r="D55" t="s">
        <v>58</v>
      </c>
      <c r="E55">
        <v>4</v>
      </c>
      <c r="F55">
        <v>460174.86</v>
      </c>
      <c r="G55">
        <v>115043.71</v>
      </c>
      <c r="H55" s="2">
        <v>44742</v>
      </c>
      <c r="I55" s="2">
        <v>45015</v>
      </c>
    </row>
    <row r="56" spans="1:9">
      <c r="A56">
        <v>29844</v>
      </c>
      <c r="B56" t="s">
        <v>187</v>
      </c>
      <c r="C56" t="s">
        <v>133</v>
      </c>
      <c r="D56" t="s">
        <v>65</v>
      </c>
      <c r="E56">
        <v>12</v>
      </c>
      <c r="F56">
        <v>452727.93</v>
      </c>
      <c r="G56">
        <v>37727.33</v>
      </c>
      <c r="H56" s="2">
        <v>44711</v>
      </c>
      <c r="I56" s="2">
        <v>45716</v>
      </c>
    </row>
    <row r="57" spans="1:9">
      <c r="A57">
        <v>29744</v>
      </c>
      <c r="B57" t="s">
        <v>188</v>
      </c>
      <c r="C57" t="s">
        <v>133</v>
      </c>
      <c r="D57" t="s">
        <v>49</v>
      </c>
      <c r="E57">
        <v>8</v>
      </c>
      <c r="F57">
        <v>449330.82</v>
      </c>
      <c r="G57">
        <v>56166.35</v>
      </c>
      <c r="H57" s="2">
        <v>45076</v>
      </c>
      <c r="I57" s="2">
        <v>45716</v>
      </c>
    </row>
    <row r="58" spans="1:9">
      <c r="A58">
        <v>29950</v>
      </c>
      <c r="B58" t="s">
        <v>189</v>
      </c>
      <c r="C58" t="s">
        <v>133</v>
      </c>
      <c r="D58" t="s">
        <v>52</v>
      </c>
      <c r="E58">
        <v>12</v>
      </c>
      <c r="F58">
        <v>449023.1</v>
      </c>
      <c r="G58">
        <v>37418.589999999997</v>
      </c>
      <c r="H58" s="2">
        <v>44773</v>
      </c>
      <c r="I58" s="2">
        <v>45777</v>
      </c>
    </row>
    <row r="59" spans="1:9">
      <c r="A59">
        <v>29702</v>
      </c>
      <c r="B59" t="s">
        <v>190</v>
      </c>
      <c r="C59" t="s">
        <v>133</v>
      </c>
      <c r="D59" t="s">
        <v>49</v>
      </c>
      <c r="E59">
        <v>12</v>
      </c>
      <c r="F59">
        <v>447403.49</v>
      </c>
      <c r="G59">
        <v>37283.620000000003</v>
      </c>
      <c r="H59" s="2">
        <v>44773</v>
      </c>
      <c r="I59" s="2">
        <v>45777</v>
      </c>
    </row>
    <row r="60" spans="1:9">
      <c r="A60">
        <v>29888</v>
      </c>
      <c r="B60" t="s">
        <v>191</v>
      </c>
      <c r="C60" t="s">
        <v>133</v>
      </c>
      <c r="D60" t="s">
        <v>59</v>
      </c>
      <c r="E60">
        <v>12</v>
      </c>
      <c r="F60">
        <v>445392.96</v>
      </c>
      <c r="G60">
        <v>37116.080000000002</v>
      </c>
      <c r="H60" s="2">
        <v>44742</v>
      </c>
      <c r="I60" s="2">
        <v>45746</v>
      </c>
    </row>
    <row r="61" spans="1:9">
      <c r="A61">
        <v>29724</v>
      </c>
      <c r="B61" t="s">
        <v>192</v>
      </c>
      <c r="C61" t="s">
        <v>133</v>
      </c>
      <c r="D61" t="s">
        <v>65</v>
      </c>
      <c r="E61">
        <v>12</v>
      </c>
      <c r="F61">
        <v>444336.98</v>
      </c>
      <c r="G61">
        <v>37028.080000000002</v>
      </c>
      <c r="H61" s="2">
        <v>44742</v>
      </c>
      <c r="I61" s="2">
        <v>45746</v>
      </c>
    </row>
    <row r="62" spans="1:9">
      <c r="A62">
        <v>29940</v>
      </c>
      <c r="B62" t="s">
        <v>193</v>
      </c>
      <c r="C62" t="s">
        <v>133</v>
      </c>
      <c r="D62" t="s">
        <v>63</v>
      </c>
      <c r="E62">
        <v>4</v>
      </c>
      <c r="F62">
        <v>443136.59</v>
      </c>
      <c r="G62">
        <v>110784.15</v>
      </c>
      <c r="H62" s="2">
        <v>45472</v>
      </c>
      <c r="I62" s="2">
        <v>45746</v>
      </c>
    </row>
    <row r="63" spans="1:9">
      <c r="A63">
        <v>29651</v>
      </c>
      <c r="B63" t="s">
        <v>194</v>
      </c>
      <c r="C63" t="s">
        <v>133</v>
      </c>
      <c r="D63" t="s">
        <v>58</v>
      </c>
      <c r="E63">
        <v>12</v>
      </c>
      <c r="F63">
        <v>442256.88</v>
      </c>
      <c r="G63">
        <v>36854.74</v>
      </c>
      <c r="H63" s="2">
        <v>44773</v>
      </c>
      <c r="I63" s="2">
        <v>45777</v>
      </c>
    </row>
    <row r="64" spans="1:9">
      <c r="A64">
        <v>30067</v>
      </c>
      <c r="B64" t="s">
        <v>195</v>
      </c>
      <c r="C64" t="s">
        <v>133</v>
      </c>
      <c r="D64" t="s">
        <v>52</v>
      </c>
      <c r="E64">
        <v>12</v>
      </c>
      <c r="F64">
        <v>442054.09</v>
      </c>
      <c r="G64">
        <v>36837.839999999997</v>
      </c>
      <c r="H64" s="2">
        <v>44711</v>
      </c>
      <c r="I64" s="2">
        <v>45716</v>
      </c>
    </row>
    <row r="65" spans="1:9">
      <c r="A65">
        <v>29885</v>
      </c>
      <c r="B65" t="s">
        <v>196</v>
      </c>
      <c r="C65" t="s">
        <v>133</v>
      </c>
      <c r="D65" t="s">
        <v>54</v>
      </c>
      <c r="E65">
        <v>8</v>
      </c>
      <c r="F65">
        <v>435986.13</v>
      </c>
      <c r="G65">
        <v>54498.27</v>
      </c>
      <c r="H65" s="2">
        <v>44742</v>
      </c>
      <c r="I65" s="2">
        <v>45380</v>
      </c>
    </row>
    <row r="66" spans="1:9">
      <c r="A66">
        <v>29714</v>
      </c>
      <c r="B66" t="s">
        <v>197</v>
      </c>
      <c r="C66" t="s">
        <v>133</v>
      </c>
      <c r="D66" t="s">
        <v>52</v>
      </c>
      <c r="E66">
        <v>12</v>
      </c>
      <c r="F66">
        <v>432800.34</v>
      </c>
      <c r="G66">
        <v>36066.69</v>
      </c>
      <c r="H66" s="2">
        <v>44773</v>
      </c>
      <c r="I66" s="2">
        <v>45777</v>
      </c>
    </row>
    <row r="67" spans="1:9">
      <c r="A67">
        <v>29489</v>
      </c>
      <c r="B67" t="s">
        <v>198</v>
      </c>
      <c r="C67" t="s">
        <v>133</v>
      </c>
      <c r="D67" t="s">
        <v>49</v>
      </c>
      <c r="E67">
        <v>12</v>
      </c>
      <c r="F67">
        <v>428350.53</v>
      </c>
      <c r="G67">
        <v>35695.879999999997</v>
      </c>
      <c r="H67" s="2">
        <v>44711</v>
      </c>
      <c r="I67" s="2">
        <v>45716</v>
      </c>
    </row>
    <row r="68" spans="1:9">
      <c r="A68">
        <v>29955</v>
      </c>
      <c r="B68" t="s">
        <v>199</v>
      </c>
      <c r="C68" t="s">
        <v>133</v>
      </c>
      <c r="D68" t="s">
        <v>58</v>
      </c>
      <c r="E68">
        <v>12</v>
      </c>
      <c r="F68">
        <v>421079.06</v>
      </c>
      <c r="G68">
        <v>35089.919999999998</v>
      </c>
      <c r="H68" s="2">
        <v>44742</v>
      </c>
      <c r="I68" s="2">
        <v>45746</v>
      </c>
    </row>
    <row r="69" spans="1:9">
      <c r="A69">
        <v>29938</v>
      </c>
      <c r="B69" t="s">
        <v>200</v>
      </c>
      <c r="C69" t="s">
        <v>133</v>
      </c>
      <c r="D69" t="s">
        <v>49</v>
      </c>
      <c r="E69">
        <v>12</v>
      </c>
      <c r="F69">
        <v>420767.71</v>
      </c>
      <c r="G69">
        <v>35063.980000000003</v>
      </c>
      <c r="H69" s="2">
        <v>44773</v>
      </c>
      <c r="I69" s="2">
        <v>45777</v>
      </c>
    </row>
    <row r="70" spans="1:9">
      <c r="A70">
        <v>29637</v>
      </c>
      <c r="B70" t="s">
        <v>201</v>
      </c>
      <c r="C70" t="s">
        <v>133</v>
      </c>
      <c r="D70" t="s">
        <v>49</v>
      </c>
      <c r="E70">
        <v>12</v>
      </c>
      <c r="F70">
        <v>407563.01</v>
      </c>
      <c r="G70">
        <v>33963.58</v>
      </c>
      <c r="H70" s="2">
        <v>44773</v>
      </c>
      <c r="I70" s="2">
        <v>45777</v>
      </c>
    </row>
    <row r="71" spans="1:9">
      <c r="A71">
        <v>29594</v>
      </c>
      <c r="B71" t="s">
        <v>202</v>
      </c>
      <c r="C71" t="s">
        <v>133</v>
      </c>
      <c r="D71" t="s">
        <v>65</v>
      </c>
      <c r="E71">
        <v>4</v>
      </c>
      <c r="F71">
        <v>402874.39</v>
      </c>
      <c r="G71">
        <v>100718.6</v>
      </c>
      <c r="H71" s="2">
        <v>45076</v>
      </c>
      <c r="I71" s="2">
        <v>45350</v>
      </c>
    </row>
    <row r="72" spans="1:9">
      <c r="A72">
        <v>29987</v>
      </c>
      <c r="B72" t="s">
        <v>203</v>
      </c>
      <c r="C72" t="s">
        <v>133</v>
      </c>
      <c r="D72" t="s">
        <v>49</v>
      </c>
      <c r="E72">
        <v>4</v>
      </c>
      <c r="F72">
        <v>402574.86</v>
      </c>
      <c r="G72">
        <v>100643.71</v>
      </c>
      <c r="H72" s="2">
        <v>45441</v>
      </c>
      <c r="I72" s="2">
        <v>45716</v>
      </c>
    </row>
    <row r="73" spans="1:9">
      <c r="A73">
        <v>29647</v>
      </c>
      <c r="B73" t="s">
        <v>204</v>
      </c>
      <c r="C73" t="s">
        <v>133</v>
      </c>
      <c r="D73" t="s">
        <v>65</v>
      </c>
      <c r="E73">
        <v>8</v>
      </c>
      <c r="F73">
        <v>402240.8</v>
      </c>
      <c r="G73">
        <v>50280.1</v>
      </c>
      <c r="H73" s="2">
        <v>45076</v>
      </c>
      <c r="I73" s="2">
        <v>45716</v>
      </c>
    </row>
    <row r="74" spans="1:9">
      <c r="A74">
        <v>29998</v>
      </c>
      <c r="B74" t="s">
        <v>205</v>
      </c>
      <c r="C74" t="s">
        <v>133</v>
      </c>
      <c r="D74" t="s">
        <v>49</v>
      </c>
      <c r="E74">
        <v>4</v>
      </c>
      <c r="F74">
        <v>399980.88</v>
      </c>
      <c r="G74">
        <v>99995.22</v>
      </c>
      <c r="H74" s="2">
        <v>45138</v>
      </c>
      <c r="I74" s="2">
        <v>45411</v>
      </c>
    </row>
    <row r="75" spans="1:9">
      <c r="A75">
        <v>29587</v>
      </c>
      <c r="B75" t="s">
        <v>206</v>
      </c>
      <c r="C75" t="s">
        <v>133</v>
      </c>
      <c r="D75" t="s">
        <v>60</v>
      </c>
      <c r="E75">
        <v>8</v>
      </c>
      <c r="F75">
        <v>399672.86</v>
      </c>
      <c r="G75">
        <v>49959.11</v>
      </c>
      <c r="H75" s="2">
        <v>45076</v>
      </c>
      <c r="I75" s="2">
        <v>45716</v>
      </c>
    </row>
    <row r="76" spans="1:9">
      <c r="A76">
        <v>29929</v>
      </c>
      <c r="B76" t="s">
        <v>207</v>
      </c>
      <c r="C76" t="s">
        <v>133</v>
      </c>
      <c r="D76" t="s">
        <v>49</v>
      </c>
      <c r="E76">
        <v>8</v>
      </c>
      <c r="F76">
        <v>393520.8</v>
      </c>
      <c r="G76">
        <v>49190.1</v>
      </c>
      <c r="H76" s="2">
        <v>45138</v>
      </c>
      <c r="I76" s="2">
        <v>45777</v>
      </c>
    </row>
    <row r="77" spans="1:9">
      <c r="A77">
        <v>29629</v>
      </c>
      <c r="B77" t="s">
        <v>208</v>
      </c>
      <c r="C77" t="s">
        <v>133</v>
      </c>
      <c r="D77" t="s">
        <v>52</v>
      </c>
      <c r="E77">
        <v>4</v>
      </c>
      <c r="F77">
        <v>389437.66</v>
      </c>
      <c r="G77">
        <v>97359.41</v>
      </c>
      <c r="H77" s="2">
        <v>45503</v>
      </c>
      <c r="I77" s="2">
        <v>45777</v>
      </c>
    </row>
    <row r="78" spans="1:9">
      <c r="A78">
        <v>30094</v>
      </c>
      <c r="B78" t="s">
        <v>209</v>
      </c>
      <c r="C78" t="s">
        <v>133</v>
      </c>
      <c r="D78" t="s">
        <v>49</v>
      </c>
      <c r="E78">
        <v>8</v>
      </c>
      <c r="F78">
        <v>381763.55</v>
      </c>
      <c r="G78">
        <v>47720.44</v>
      </c>
      <c r="H78" s="2">
        <v>45107</v>
      </c>
      <c r="I78" s="2">
        <v>45746</v>
      </c>
    </row>
    <row r="79" spans="1:9">
      <c r="A79">
        <v>29995</v>
      </c>
      <c r="B79" t="s">
        <v>210</v>
      </c>
      <c r="C79" t="s">
        <v>133</v>
      </c>
      <c r="D79" t="s">
        <v>66</v>
      </c>
      <c r="E79">
        <v>4</v>
      </c>
      <c r="F79">
        <v>381608</v>
      </c>
      <c r="G79">
        <v>95402</v>
      </c>
      <c r="H79" s="2">
        <v>45472</v>
      </c>
      <c r="I79" s="2">
        <v>45746</v>
      </c>
    </row>
    <row r="80" spans="1:9">
      <c r="A80">
        <v>30109</v>
      </c>
      <c r="B80" t="s">
        <v>211</v>
      </c>
      <c r="C80" t="s">
        <v>133</v>
      </c>
      <c r="D80" t="s">
        <v>58</v>
      </c>
      <c r="E80">
        <v>8</v>
      </c>
      <c r="F80">
        <v>378936.09</v>
      </c>
      <c r="G80">
        <v>47367.01</v>
      </c>
      <c r="H80" s="2">
        <v>45076</v>
      </c>
      <c r="I80" s="2">
        <v>45716</v>
      </c>
    </row>
    <row r="81" spans="1:9">
      <c r="A81">
        <v>29704</v>
      </c>
      <c r="B81" t="s">
        <v>212</v>
      </c>
      <c r="C81" t="s">
        <v>133</v>
      </c>
      <c r="D81" t="s">
        <v>59</v>
      </c>
      <c r="E81">
        <v>8</v>
      </c>
      <c r="F81">
        <v>377088.62</v>
      </c>
      <c r="G81">
        <v>47136.08</v>
      </c>
      <c r="H81" s="2">
        <v>45076</v>
      </c>
      <c r="I81" s="2">
        <v>45716</v>
      </c>
    </row>
    <row r="82" spans="1:9">
      <c r="A82">
        <v>29692</v>
      </c>
      <c r="B82" t="s">
        <v>213</v>
      </c>
      <c r="C82" t="s">
        <v>133</v>
      </c>
      <c r="D82" t="s">
        <v>52</v>
      </c>
      <c r="E82">
        <v>8</v>
      </c>
      <c r="F82">
        <v>366009.65</v>
      </c>
      <c r="G82">
        <v>45751.21</v>
      </c>
      <c r="H82" s="2">
        <v>45076</v>
      </c>
      <c r="I82" s="2">
        <v>45716</v>
      </c>
    </row>
    <row r="83" spans="1:9">
      <c r="A83">
        <v>29736</v>
      </c>
      <c r="B83" t="s">
        <v>214</v>
      </c>
      <c r="C83" t="s">
        <v>133</v>
      </c>
      <c r="D83" t="s">
        <v>60</v>
      </c>
      <c r="E83">
        <v>4</v>
      </c>
      <c r="F83">
        <v>363872.04</v>
      </c>
      <c r="G83">
        <v>90968.01</v>
      </c>
      <c r="H83" s="2">
        <v>45503</v>
      </c>
      <c r="I83" s="2">
        <v>45777</v>
      </c>
    </row>
    <row r="84" spans="1:9">
      <c r="A84">
        <v>30043</v>
      </c>
      <c r="B84" t="s">
        <v>215</v>
      </c>
      <c r="C84" t="s">
        <v>133</v>
      </c>
      <c r="D84" t="s">
        <v>63</v>
      </c>
      <c r="E84">
        <v>8</v>
      </c>
      <c r="F84">
        <v>360816.55</v>
      </c>
      <c r="G84">
        <v>45102.07</v>
      </c>
      <c r="H84" s="2">
        <v>45138</v>
      </c>
      <c r="I84" s="2">
        <v>45777</v>
      </c>
    </row>
    <row r="85" spans="1:9">
      <c r="A85">
        <v>29895</v>
      </c>
      <c r="B85" t="s">
        <v>216</v>
      </c>
      <c r="C85" t="s">
        <v>133</v>
      </c>
      <c r="D85" t="s">
        <v>52</v>
      </c>
      <c r="E85">
        <v>8</v>
      </c>
      <c r="F85">
        <v>358195.77</v>
      </c>
      <c r="G85">
        <v>44774.47</v>
      </c>
      <c r="H85" s="2">
        <v>45107</v>
      </c>
      <c r="I85" s="2">
        <v>45746</v>
      </c>
    </row>
    <row r="86" spans="1:9">
      <c r="A86">
        <v>29560</v>
      </c>
      <c r="B86" t="s">
        <v>217</v>
      </c>
      <c r="C86" t="s">
        <v>133</v>
      </c>
      <c r="D86" t="s">
        <v>49</v>
      </c>
      <c r="E86">
        <v>8</v>
      </c>
      <c r="F86">
        <v>356524.08</v>
      </c>
      <c r="G86">
        <v>44565.51</v>
      </c>
      <c r="H86" s="2">
        <v>45107</v>
      </c>
      <c r="I86" s="2">
        <v>45746</v>
      </c>
    </row>
    <row r="87" spans="1:9">
      <c r="A87">
        <v>29853</v>
      </c>
      <c r="B87" t="s">
        <v>218</v>
      </c>
      <c r="C87" t="s">
        <v>133</v>
      </c>
      <c r="D87" t="s">
        <v>49</v>
      </c>
      <c r="E87">
        <v>8</v>
      </c>
      <c r="F87">
        <v>350717.99</v>
      </c>
      <c r="G87">
        <v>43839.75</v>
      </c>
      <c r="H87" s="2">
        <v>44742</v>
      </c>
      <c r="I87" s="2">
        <v>45380</v>
      </c>
    </row>
    <row r="88" spans="1:9">
      <c r="A88">
        <v>29618</v>
      </c>
      <c r="B88" t="s">
        <v>219</v>
      </c>
      <c r="C88" t="s">
        <v>133</v>
      </c>
      <c r="D88" t="s">
        <v>60</v>
      </c>
      <c r="E88">
        <v>8</v>
      </c>
      <c r="F88">
        <v>348640.95</v>
      </c>
      <c r="G88">
        <v>43580.12</v>
      </c>
      <c r="H88" s="2">
        <v>45107</v>
      </c>
      <c r="I88" s="2">
        <v>45746</v>
      </c>
    </row>
    <row r="89" spans="1:9">
      <c r="A89">
        <v>29783</v>
      </c>
      <c r="B89" t="s">
        <v>220</v>
      </c>
      <c r="C89" t="s">
        <v>133</v>
      </c>
      <c r="D89" t="s">
        <v>58</v>
      </c>
      <c r="E89">
        <v>8</v>
      </c>
      <c r="F89">
        <v>348070.07</v>
      </c>
      <c r="G89">
        <v>43508.76</v>
      </c>
      <c r="H89" s="2">
        <v>45076</v>
      </c>
      <c r="I89" s="2">
        <v>45716</v>
      </c>
    </row>
    <row r="90" spans="1:9">
      <c r="A90">
        <v>29615</v>
      </c>
      <c r="B90" t="s">
        <v>221</v>
      </c>
      <c r="C90" t="s">
        <v>133</v>
      </c>
      <c r="D90" t="s">
        <v>60</v>
      </c>
      <c r="E90">
        <v>4</v>
      </c>
      <c r="F90">
        <v>340396.32</v>
      </c>
      <c r="G90">
        <v>85099.08</v>
      </c>
      <c r="H90" s="2">
        <v>45472</v>
      </c>
      <c r="I90" s="2">
        <v>45746</v>
      </c>
    </row>
    <row r="91" spans="1:9">
      <c r="A91">
        <v>29904</v>
      </c>
      <c r="B91" t="s">
        <v>222</v>
      </c>
      <c r="C91" t="s">
        <v>133</v>
      </c>
      <c r="D91" t="s">
        <v>60</v>
      </c>
      <c r="E91">
        <v>8</v>
      </c>
      <c r="F91">
        <v>340132.13</v>
      </c>
      <c r="G91">
        <v>42516.52</v>
      </c>
      <c r="H91" s="2">
        <v>45107</v>
      </c>
      <c r="I91" s="2">
        <v>45746</v>
      </c>
    </row>
    <row r="92" spans="1:9">
      <c r="A92">
        <v>29509</v>
      </c>
      <c r="B92" t="s">
        <v>223</v>
      </c>
      <c r="C92" t="s">
        <v>133</v>
      </c>
      <c r="D92" t="s">
        <v>65</v>
      </c>
      <c r="E92">
        <v>12</v>
      </c>
      <c r="F92">
        <v>337311.27</v>
      </c>
      <c r="G92">
        <v>28109.27</v>
      </c>
      <c r="H92" s="2">
        <v>44742</v>
      </c>
      <c r="I92" s="2">
        <v>45746</v>
      </c>
    </row>
    <row r="93" spans="1:9">
      <c r="A93">
        <v>29792</v>
      </c>
      <c r="B93" t="s">
        <v>224</v>
      </c>
      <c r="C93" t="s">
        <v>133</v>
      </c>
      <c r="D93" t="s">
        <v>49</v>
      </c>
      <c r="E93">
        <v>8</v>
      </c>
      <c r="F93">
        <v>331823.86</v>
      </c>
      <c r="G93">
        <v>41477.980000000003</v>
      </c>
      <c r="H93" s="2">
        <v>45107</v>
      </c>
      <c r="I93" s="2">
        <v>45746</v>
      </c>
    </row>
    <row r="94" spans="1:9">
      <c r="A94">
        <v>29956</v>
      </c>
      <c r="B94" t="s">
        <v>225</v>
      </c>
      <c r="C94" t="s">
        <v>133</v>
      </c>
      <c r="D94" t="s">
        <v>49</v>
      </c>
      <c r="E94">
        <v>8</v>
      </c>
      <c r="F94">
        <v>331231.3</v>
      </c>
      <c r="G94">
        <v>41403.910000000003</v>
      </c>
      <c r="H94" s="2">
        <v>45138</v>
      </c>
      <c r="I94" s="2">
        <v>45777</v>
      </c>
    </row>
    <row r="95" spans="1:9">
      <c r="A95">
        <v>29896</v>
      </c>
      <c r="B95" t="s">
        <v>226</v>
      </c>
      <c r="C95" t="s">
        <v>133</v>
      </c>
      <c r="D95" t="s">
        <v>59</v>
      </c>
      <c r="E95">
        <v>8</v>
      </c>
      <c r="F95">
        <v>330853.45</v>
      </c>
      <c r="G95">
        <v>41356.68</v>
      </c>
      <c r="H95" s="2">
        <v>45107</v>
      </c>
      <c r="I95" s="2">
        <v>45746</v>
      </c>
    </row>
    <row r="96" spans="1:9">
      <c r="A96">
        <v>29658</v>
      </c>
      <c r="B96" t="s">
        <v>227</v>
      </c>
      <c r="C96" t="s">
        <v>133</v>
      </c>
      <c r="D96" t="s">
        <v>65</v>
      </c>
      <c r="E96">
        <v>8</v>
      </c>
      <c r="F96">
        <v>329150.84000000003</v>
      </c>
      <c r="G96">
        <v>41143.86</v>
      </c>
      <c r="H96" s="2">
        <v>45076</v>
      </c>
      <c r="I96" s="2">
        <v>45716</v>
      </c>
    </row>
    <row r="97" spans="1:9">
      <c r="A97">
        <v>29910</v>
      </c>
      <c r="B97" t="s">
        <v>228</v>
      </c>
      <c r="C97" t="s">
        <v>133</v>
      </c>
      <c r="D97" t="s">
        <v>52</v>
      </c>
      <c r="E97">
        <v>8</v>
      </c>
      <c r="F97">
        <v>329064.43</v>
      </c>
      <c r="G97">
        <v>41133.050000000003</v>
      </c>
      <c r="H97" s="2">
        <v>45107</v>
      </c>
      <c r="I97" s="2">
        <v>45746</v>
      </c>
    </row>
    <row r="98" spans="1:9">
      <c r="A98">
        <v>29698</v>
      </c>
      <c r="B98" t="s">
        <v>229</v>
      </c>
      <c r="C98" t="s">
        <v>133</v>
      </c>
      <c r="D98" t="s">
        <v>52</v>
      </c>
      <c r="E98">
        <v>12</v>
      </c>
      <c r="F98">
        <v>326883.55</v>
      </c>
      <c r="G98">
        <v>27240.3</v>
      </c>
      <c r="H98" s="2">
        <v>44742</v>
      </c>
      <c r="I98" s="2">
        <v>45746</v>
      </c>
    </row>
    <row r="99" spans="1:9">
      <c r="A99">
        <v>29515</v>
      </c>
      <c r="B99" t="s">
        <v>230</v>
      </c>
      <c r="C99" t="s">
        <v>133</v>
      </c>
      <c r="D99" t="s">
        <v>52</v>
      </c>
      <c r="E99">
        <v>8</v>
      </c>
      <c r="F99">
        <v>326175.98</v>
      </c>
      <c r="G99">
        <v>40772</v>
      </c>
      <c r="H99" s="2">
        <v>44742</v>
      </c>
      <c r="I99" s="2">
        <v>45564</v>
      </c>
    </row>
    <row r="100" spans="1:9">
      <c r="A100">
        <v>30065</v>
      </c>
      <c r="B100" t="s">
        <v>231</v>
      </c>
      <c r="C100" t="s">
        <v>133</v>
      </c>
      <c r="D100" t="s">
        <v>65</v>
      </c>
      <c r="E100">
        <v>8</v>
      </c>
      <c r="F100">
        <v>325324.05</v>
      </c>
      <c r="G100">
        <v>40665.51</v>
      </c>
      <c r="H100" s="2">
        <v>45076</v>
      </c>
      <c r="I100" s="2">
        <v>45716</v>
      </c>
    </row>
    <row r="101" spans="1:9">
      <c r="A101">
        <v>29889</v>
      </c>
      <c r="B101" t="s">
        <v>232</v>
      </c>
      <c r="C101" t="s">
        <v>133</v>
      </c>
      <c r="D101" t="s">
        <v>49</v>
      </c>
      <c r="E101">
        <v>8</v>
      </c>
      <c r="F101">
        <v>323176.28000000003</v>
      </c>
      <c r="G101">
        <v>40397.03</v>
      </c>
      <c r="H101" s="2">
        <v>44711</v>
      </c>
      <c r="I101" s="2">
        <v>45350</v>
      </c>
    </row>
  </sheetData>
  <autoFilter ref="A1:I1" xr:uid="{00000000-0001-0000-0400-000000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
  <sheetViews>
    <sheetView workbookViewId="0">
      <pane ySplit="1" topLeftCell="A2" activePane="bottomLeft" state="frozen"/>
      <selection pane="bottomLeft" activeCell="B2" sqref="B2"/>
    </sheetView>
  </sheetViews>
  <sheetFormatPr defaultRowHeight="14.35"/>
  <cols>
    <col min="2" max="2" width="15.1171875" bestFit="1" customWidth="1"/>
    <col min="3" max="3" width="16.5859375" bestFit="1" customWidth="1"/>
    <col min="4" max="4" width="21.1171875" bestFit="1" customWidth="1"/>
    <col min="5" max="5" width="18.41015625" bestFit="1" customWidth="1"/>
  </cols>
  <sheetData>
    <row r="1" spans="1:5">
      <c r="A1" s="1" t="s">
        <v>0</v>
      </c>
      <c r="B1" s="1" t="s">
        <v>3</v>
      </c>
      <c r="C1" s="1" t="s">
        <v>48</v>
      </c>
      <c r="D1" s="1" t="s">
        <v>233</v>
      </c>
      <c r="E1" s="1" t="s">
        <v>234</v>
      </c>
    </row>
    <row r="2" spans="1:5">
      <c r="A2">
        <v>2022</v>
      </c>
      <c r="B2">
        <v>1692</v>
      </c>
      <c r="C2">
        <v>16316694.17</v>
      </c>
    </row>
    <row r="3" spans="1:5">
      <c r="A3">
        <v>2023</v>
      </c>
      <c r="B3">
        <v>3830</v>
      </c>
      <c r="C3">
        <v>35514705.670000002</v>
      </c>
      <c r="D3">
        <v>16316694.17</v>
      </c>
      <c r="E3">
        <v>117.66</v>
      </c>
    </row>
    <row r="4" spans="1:5">
      <c r="A4">
        <v>2024</v>
      </c>
      <c r="B4">
        <v>14244</v>
      </c>
      <c r="C4">
        <v>49020486.509999998</v>
      </c>
      <c r="D4">
        <v>35514705.670000002</v>
      </c>
      <c r="E4">
        <v>38.03</v>
      </c>
    </row>
  </sheetData>
  <autoFilter ref="A1:E1" xr:uid="{00000000-0001-0000-05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KPI Summary</vt:lpstr>
      <vt:lpstr>Pivot - Yearly Revenue</vt:lpstr>
      <vt:lpstr>Pivot - Category</vt:lpstr>
      <vt:lpstr>Pivot - Territory</vt:lpstr>
      <vt:lpstr>Pivot - Salesperson</vt:lpstr>
      <vt:lpstr>YoY Comparison</vt:lpstr>
      <vt:lpstr>Monthly Revenue</vt:lpstr>
      <vt:lpstr>Territory Revenue</vt:lpstr>
      <vt:lpstr>Category Revenue</vt:lpstr>
      <vt:lpstr>Salesperson</vt:lpstr>
      <vt:lpstr>Top Customers</vt:lpstr>
      <vt:lpstr>YoY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Wickramarachchi, Wickrama Arachchige A</cp:lastModifiedBy>
  <dcterms:created xsi:type="dcterms:W3CDTF">2026-07-03T21:44:21Z</dcterms:created>
  <dcterms:modified xsi:type="dcterms:W3CDTF">2026-07-05T14:39:28Z</dcterms:modified>
</cp:coreProperties>
</file>